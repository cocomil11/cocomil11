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kentarotakahira/Library/CloudStorage/GoogleDrive-kentaro.takahira@gmail.com/My Drive/書籍/グラフ作成/文章挿入グラフ一覧/"/>
    </mc:Choice>
  </mc:AlternateContent>
  <xr:revisionPtr revIDLastSave="0" documentId="13_ncr:1_{79ED42B5-55BC-6740-97E6-56806971505F}" xr6:coauthVersionLast="47" xr6:coauthVersionMax="47" xr10:uidLastSave="{00000000-0000-0000-0000-000000000000}"/>
  <bookViews>
    <workbookView xWindow="0" yWindow="760" windowWidth="34560" windowHeight="21580" xr2:uid="{5125B8C0-2C6D-6546-B701-E9DE190C2F84}"/>
  </bookViews>
  <sheets>
    <sheet name="T-2-4-3 (分布) " sheetId="34" r:id="rId1"/>
  </sheets>
  <externalReferences>
    <externalReference r:id="rId2"/>
  </externalReferences>
  <definedNames>
    <definedName name="_xlchart.v1.0" hidden="1">'T-2-4-3 (分布) '!$C$2</definedName>
    <definedName name="_xlchart.v1.1" hidden="1">'T-2-4-3 (分布) '!$C$3:$C$117</definedName>
    <definedName name="_xlchart.v1.10" hidden="1">'T-2-4-3 (分布) '!$F$2</definedName>
    <definedName name="_xlchart.v1.11" hidden="1">'T-2-4-3 (分布) '!$F$3:$F$117</definedName>
    <definedName name="_xlchart.v1.12" hidden="1">'T-2-4-3 (分布) '!$G$2</definedName>
    <definedName name="_xlchart.v1.13" hidden="1">'T-2-4-3 (分布) '!$G$3:$G$117</definedName>
    <definedName name="_xlchart.v1.14" hidden="1">'T-2-4-3 (分布) '!$E$2</definedName>
    <definedName name="_xlchart.v1.15" hidden="1">'T-2-4-3 (分布) '!$E$3:$E$117</definedName>
    <definedName name="_xlchart.v1.16" hidden="1">'T-2-4-3 (分布) '!$H$3:$H$577</definedName>
    <definedName name="_xlchart.v1.17" hidden="1">'T-2-4-3 (分布) '!$I$3:$I$577</definedName>
    <definedName name="_xlchart.v1.2" hidden="1">'T-2-4-3 (分布) '!$D$2</definedName>
    <definedName name="_xlchart.v1.3" hidden="1">'T-2-4-3 (分布) '!$D$3:$D$117</definedName>
    <definedName name="_xlchart.v1.4" hidden="1">'T-2-4-3 (分布) '!$C$2</definedName>
    <definedName name="_xlchart.v1.5" hidden="1">'T-2-4-3 (分布) '!$C$3:$C$117</definedName>
    <definedName name="_xlchart.v1.6" hidden="1">'T-2-4-3 (分布) '!$D$2</definedName>
    <definedName name="_xlchart.v1.7" hidden="1">'T-2-4-3 (分布) '!$D$3:$D$117</definedName>
    <definedName name="_xlchart.v1.8" hidden="1">'T-2-4-3 (分布) '!$E$2</definedName>
    <definedName name="_xlchart.v1.9" hidden="1">'T-2-4-3 (分布) '!$E$3:$E$117</definedName>
    <definedName name="_xlcn.WorksheetConnection_T251地理AM4AN511" hidden="1">'[1]T-2-5-1(地理)'!$AM$4:$AN$51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範囲" name="範囲" connection="WorksheetConnection_T-2-5-1(地理)!$AM$4:$AN$5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8" i="34" l="1"/>
  <c r="B117" i="34" l="1"/>
  <c r="B116" i="34"/>
  <c r="B115" i="34"/>
  <c r="B114" i="34"/>
  <c r="B113" i="34"/>
  <c r="B112" i="34"/>
  <c r="B111" i="34"/>
  <c r="B110" i="34"/>
  <c r="B109" i="34"/>
  <c r="B108" i="34"/>
  <c r="B107" i="34"/>
  <c r="B106" i="34"/>
  <c r="B105" i="34"/>
  <c r="B104" i="34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L6" i="34"/>
  <c r="L10" i="34" s="1"/>
  <c r="B6" i="34"/>
  <c r="M5" i="34"/>
  <c r="B5" i="34"/>
  <c r="B4" i="34"/>
  <c r="B3" i="34"/>
  <c r="L12" i="34" l="1"/>
  <c r="M6" i="34"/>
  <c r="M12" i="34" s="1"/>
  <c r="N5" i="34"/>
  <c r="L8" i="34"/>
  <c r="L11" i="34"/>
  <c r="L9" i="34"/>
  <c r="L7" i="34"/>
  <c r="M8" i="34" l="1"/>
  <c r="M11" i="34"/>
  <c r="M7" i="34"/>
  <c r="M10" i="34"/>
  <c r="N6" i="34"/>
  <c r="N7" i="34" s="1"/>
  <c r="N10" i="34"/>
  <c r="O5" i="34"/>
  <c r="M9" i="34"/>
  <c r="N8" i="34" l="1"/>
  <c r="N9" i="34"/>
  <c r="O6" i="34"/>
  <c r="O11" i="34" s="1"/>
  <c r="P5" i="34"/>
  <c r="N11" i="34"/>
  <c r="N12" i="34"/>
  <c r="O7" i="34" l="1"/>
  <c r="O12" i="34"/>
  <c r="O10" i="34"/>
  <c r="O9" i="34"/>
  <c r="Q5" i="34"/>
  <c r="P6" i="34"/>
  <c r="P10" i="34" s="1"/>
  <c r="P8" i="34" l="1"/>
  <c r="P9" i="34"/>
  <c r="P11" i="34"/>
  <c r="P7" i="34"/>
  <c r="P12" i="34"/>
  <c r="R5" i="34"/>
  <c r="Q6" i="34"/>
  <c r="Q11" i="34" s="1"/>
  <c r="Q7" i="34" l="1"/>
  <c r="Q9" i="34"/>
  <c r="Q12" i="34"/>
  <c r="R6" i="34"/>
  <c r="R7" i="34" s="1"/>
  <c r="S5" i="34"/>
  <c r="Q10" i="34"/>
  <c r="Q8" i="34"/>
  <c r="R10" i="34" l="1"/>
  <c r="R12" i="34"/>
  <c r="R8" i="34"/>
  <c r="R11" i="34"/>
  <c r="R9" i="34"/>
  <c r="T5" i="34"/>
  <c r="S6" i="34"/>
  <c r="S8" i="34" s="1"/>
  <c r="S10" i="34" l="1"/>
  <c r="S7" i="34"/>
  <c r="S9" i="34"/>
  <c r="S12" i="34"/>
  <c r="S11" i="34"/>
  <c r="U5" i="34"/>
  <c r="T6" i="34"/>
  <c r="T8" i="34" s="1"/>
  <c r="T10" i="34" l="1"/>
  <c r="T11" i="34"/>
  <c r="T9" i="34"/>
  <c r="T12" i="34"/>
  <c r="T7" i="34"/>
  <c r="U6" i="34"/>
  <c r="U11" i="34" s="1"/>
  <c r="V5" i="34"/>
  <c r="U10" i="34" l="1"/>
  <c r="U8" i="34"/>
  <c r="U7" i="34"/>
  <c r="U12" i="34"/>
  <c r="U9" i="34"/>
  <c r="V6" i="34"/>
  <c r="V12" i="34" s="1"/>
  <c r="W5" i="34"/>
  <c r="V11" i="34" l="1"/>
  <c r="V10" i="34"/>
  <c r="W6" i="34"/>
  <c r="W7" i="34" s="1"/>
  <c r="X5" i="34"/>
  <c r="V7" i="34"/>
  <c r="V8" i="34"/>
  <c r="V9" i="34"/>
  <c r="W10" i="34" l="1"/>
  <c r="W12" i="34"/>
  <c r="W11" i="34"/>
  <c r="W9" i="34"/>
  <c r="X6" i="34"/>
  <c r="X12" i="34" s="1"/>
  <c r="Y5" i="34"/>
  <c r="W8" i="34"/>
  <c r="X8" i="34" l="1"/>
  <c r="X7" i="34"/>
  <c r="X10" i="34"/>
  <c r="Y6" i="34"/>
  <c r="Y11" i="34" s="1"/>
  <c r="Z5" i="34"/>
  <c r="X11" i="34"/>
  <c r="X9" i="34"/>
  <c r="Y12" i="34" l="1"/>
  <c r="Y7" i="34"/>
  <c r="Y9" i="34"/>
  <c r="Y10" i="34"/>
  <c r="Y8" i="34"/>
  <c r="AA5" i="34"/>
  <c r="Z6" i="34"/>
  <c r="Z11" i="34" s="1"/>
  <c r="Z7" i="34" l="1"/>
  <c r="Z12" i="34"/>
  <c r="Z9" i="34"/>
  <c r="Z10" i="34"/>
  <c r="Z8" i="34"/>
  <c r="AA6" i="34"/>
  <c r="AA8" i="34" s="1"/>
  <c r="AB5" i="34"/>
  <c r="AA7" i="34" l="1"/>
  <c r="AA12" i="34"/>
  <c r="AA10" i="34"/>
  <c r="AA11" i="34"/>
  <c r="AA9" i="34"/>
  <c r="AB6" i="34"/>
  <c r="AB10" i="34" s="1"/>
  <c r="AC5" i="34"/>
  <c r="AB8" i="34" l="1"/>
  <c r="AB11" i="34"/>
  <c r="AB7" i="34"/>
  <c r="AB12" i="34"/>
  <c r="AB9" i="34"/>
  <c r="AD5" i="34"/>
  <c r="AC6" i="34"/>
  <c r="AC11" i="34" s="1"/>
  <c r="AC9" i="34" l="1"/>
  <c r="AC12" i="34"/>
  <c r="AE5" i="34"/>
  <c r="AD6" i="34"/>
  <c r="AD12" i="34" s="1"/>
  <c r="AC10" i="34"/>
  <c r="AC8" i="34"/>
  <c r="AC7" i="34"/>
  <c r="AD8" i="34" l="1"/>
  <c r="AD10" i="34"/>
  <c r="AD9" i="34"/>
  <c r="AD11" i="34"/>
  <c r="AD7" i="34"/>
  <c r="AF5" i="34"/>
  <c r="AE6" i="34"/>
  <c r="AE12" i="34" s="1"/>
  <c r="AE10" i="34" l="1"/>
  <c r="AE11" i="34"/>
  <c r="AE9" i="34"/>
  <c r="AE8" i="34"/>
  <c r="AE7" i="34"/>
  <c r="AF6" i="34"/>
  <c r="AF10" i="34" s="1"/>
  <c r="AG5" i="34"/>
  <c r="AF8" i="34" l="1"/>
  <c r="AG6" i="34"/>
  <c r="AG11" i="34" s="1"/>
  <c r="AH5" i="34"/>
  <c r="AF7" i="34"/>
  <c r="AF11" i="34"/>
  <c r="AF9" i="34"/>
  <c r="AF12" i="34"/>
  <c r="AG7" i="34" l="1"/>
  <c r="AG10" i="34"/>
  <c r="AG8" i="34"/>
  <c r="AG9" i="34"/>
  <c r="AH6" i="34"/>
  <c r="AH12" i="34" s="1"/>
  <c r="AH8" i="34"/>
  <c r="AI5" i="34"/>
  <c r="AG12" i="34"/>
  <c r="AH10" i="34" l="1"/>
  <c r="AI6" i="34"/>
  <c r="AI9" i="34" s="1"/>
  <c r="AJ5" i="34"/>
  <c r="AH11" i="34"/>
  <c r="AH9" i="34"/>
  <c r="AH7" i="34"/>
  <c r="AI7" i="34" l="1"/>
  <c r="AK5" i="34"/>
  <c r="AJ6" i="34"/>
  <c r="AJ11" i="34" s="1"/>
  <c r="AI10" i="34"/>
  <c r="AI12" i="34"/>
  <c r="AI8" i="34"/>
  <c r="AI11" i="34"/>
  <c r="AJ10" i="34" l="1"/>
  <c r="AJ12" i="34"/>
  <c r="AJ7" i="34"/>
  <c r="AJ9" i="34"/>
  <c r="AJ8" i="34"/>
  <c r="AK6" i="34"/>
  <c r="AK9" i="34" s="1"/>
  <c r="AL5" i="34"/>
  <c r="AK10" i="34" l="1"/>
  <c r="AK7" i="34"/>
  <c r="AK11" i="34"/>
  <c r="AK8" i="34"/>
  <c r="AL6" i="34"/>
  <c r="AL10" i="34" s="1"/>
  <c r="AM5" i="34"/>
  <c r="AK12" i="34"/>
  <c r="AL8" i="34" l="1"/>
  <c r="AL9" i="34"/>
  <c r="AL11" i="34"/>
  <c r="AL7" i="34"/>
  <c r="AL12" i="34"/>
  <c r="AM6" i="34"/>
  <c r="AM10" i="34" s="1"/>
  <c r="AN5" i="34"/>
  <c r="AM8" i="34" l="1"/>
  <c r="AM11" i="34"/>
  <c r="AM7" i="34"/>
  <c r="AM9" i="34"/>
  <c r="AM12" i="34"/>
  <c r="AO5" i="34"/>
  <c r="AN6" i="34"/>
  <c r="AN8" i="34" s="1"/>
  <c r="AN11" i="34" l="1"/>
  <c r="AN7" i="34"/>
  <c r="AN9" i="34"/>
  <c r="AN12" i="34"/>
  <c r="AP5" i="34"/>
  <c r="AO6" i="34"/>
  <c r="AO10" i="34" s="1"/>
  <c r="AN10" i="34"/>
  <c r="AO9" i="34" l="1"/>
  <c r="AO11" i="34"/>
  <c r="AO7" i="34"/>
  <c r="AO12" i="34"/>
  <c r="AQ5" i="34"/>
  <c r="AP6" i="34"/>
  <c r="AP12" i="34" s="1"/>
  <c r="AO8" i="34"/>
  <c r="AP10" i="34" l="1"/>
  <c r="AP8" i="34"/>
  <c r="AP11" i="34"/>
  <c r="AP9" i="34"/>
  <c r="AP7" i="34"/>
  <c r="AQ6" i="34"/>
  <c r="AQ11" i="34" s="1"/>
  <c r="AR5" i="34"/>
  <c r="AQ8" i="34" l="1"/>
  <c r="AR6" i="34"/>
  <c r="AR11" i="34" s="1"/>
  <c r="AS5" i="34"/>
  <c r="AQ9" i="34"/>
  <c r="AQ7" i="34"/>
  <c r="AQ12" i="34"/>
  <c r="AQ10" i="34"/>
  <c r="AR8" i="34" l="1"/>
  <c r="AR9" i="34"/>
  <c r="AR7" i="34"/>
  <c r="AR12" i="34"/>
  <c r="AR10" i="34"/>
  <c r="AS6" i="34"/>
  <c r="AS12" i="34" s="1"/>
  <c r="AT5" i="34"/>
  <c r="AS7" i="34" l="1"/>
  <c r="AS9" i="34"/>
  <c r="AS10" i="34"/>
  <c r="AU5" i="34"/>
  <c r="AT6" i="34"/>
  <c r="AT7" i="34" s="1"/>
  <c r="AT8" i="34"/>
  <c r="AT10" i="34"/>
  <c r="AS8" i="34"/>
  <c r="AS11" i="34"/>
  <c r="AT12" i="34" l="1"/>
  <c r="AT9" i="34"/>
  <c r="AT11" i="34"/>
  <c r="AU6" i="34"/>
  <c r="AU11" i="34" s="1"/>
  <c r="AV5" i="34"/>
  <c r="AV6" i="34" l="1"/>
  <c r="AV7" i="34" s="1"/>
  <c r="AW5" i="34"/>
  <c r="AU10" i="34"/>
  <c r="AU7" i="34"/>
  <c r="AU12" i="34"/>
  <c r="AU9" i="34"/>
  <c r="AU8" i="34"/>
  <c r="AV10" i="34" l="1"/>
  <c r="AV9" i="34"/>
  <c r="AV8" i="34"/>
  <c r="AV12" i="34"/>
  <c r="AV11" i="34"/>
  <c r="AW6" i="34"/>
  <c r="AW7" i="34" s="1"/>
  <c r="AX5" i="34"/>
  <c r="AW9" i="34" l="1"/>
  <c r="AW11" i="34"/>
  <c r="AW12" i="34"/>
  <c r="AW10" i="34"/>
  <c r="AW8" i="34"/>
  <c r="AX6" i="34"/>
  <c r="AX10" i="34" s="1"/>
  <c r="AY5" i="34"/>
  <c r="AX8" i="34" l="1"/>
  <c r="AX11" i="34"/>
  <c r="AX7" i="34"/>
  <c r="AX9" i="34"/>
  <c r="AX12" i="34"/>
  <c r="AZ5" i="34"/>
  <c r="AY6" i="34"/>
  <c r="AY8" i="34" s="1"/>
  <c r="AY10" i="34" l="1"/>
  <c r="AY9" i="34"/>
  <c r="AY11" i="34"/>
  <c r="AY7" i="34"/>
  <c r="AY12" i="34"/>
  <c r="BA5" i="34"/>
  <c r="AZ6" i="34"/>
  <c r="AZ9" i="34" s="1"/>
  <c r="AZ7" i="34" l="1"/>
  <c r="AZ12" i="34"/>
  <c r="BB5" i="34"/>
  <c r="BA6" i="34"/>
  <c r="BA9" i="34" s="1"/>
  <c r="AZ8" i="34"/>
  <c r="AZ10" i="34"/>
  <c r="AZ11" i="34"/>
  <c r="BA12" i="34" l="1"/>
  <c r="BA11" i="34"/>
  <c r="BA7" i="34"/>
  <c r="BA10" i="34"/>
  <c r="BB6" i="34"/>
  <c r="BB8" i="34" s="1"/>
  <c r="BB10" i="34"/>
  <c r="BC5" i="34"/>
  <c r="BA8" i="34"/>
  <c r="BB11" i="34" l="1"/>
  <c r="BB9" i="34"/>
  <c r="BB7" i="34"/>
  <c r="BB12" i="34"/>
  <c r="BC6" i="34"/>
  <c r="BC7" i="34" s="1"/>
  <c r="BD5" i="34"/>
  <c r="BC9" i="34" l="1"/>
  <c r="BC12" i="34"/>
  <c r="BC8" i="34"/>
  <c r="BC10" i="34"/>
  <c r="BC11" i="34"/>
  <c r="BE5" i="34"/>
  <c r="BD6" i="34"/>
  <c r="BD11" i="34" s="1"/>
  <c r="BD7" i="34" l="1"/>
  <c r="BE6" i="34"/>
  <c r="BE12" i="34" s="1"/>
  <c r="BD10" i="34"/>
  <c r="BD12" i="34"/>
  <c r="BD8" i="34"/>
  <c r="BD9" i="34"/>
  <c r="BE7" i="34" l="1"/>
  <c r="BE10" i="34"/>
  <c r="BE8" i="34"/>
  <c r="BE11" i="34"/>
  <c r="BE9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03DB25-1DF0-41A3-B412-84C3481DEF17}" keepAlive="1" name="ThisWorkbookDataModel" description="データ モデル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4D1A1BA-705A-4CFF-9942-B03E62E60457}" name="WorksheetConnection_T-2-5-1(地理)!$AM$4:$AN$51" type="102" refreshedVersion="8" minRefreshableVersion="5">
    <extLst>
      <ext xmlns:x15="http://schemas.microsoft.com/office/spreadsheetml/2010/11/main" uri="{DE250136-89BD-433C-8126-D09CA5730AF9}">
        <x15:connection id="範囲">
          <x15:rangePr sourceName="_xlcn.WorksheetConnection_T251地理AM4AN511"/>
        </x15:connection>
      </ext>
    </extLst>
  </connection>
</connections>
</file>

<file path=xl/sharedStrings.xml><?xml version="1.0" encoding="utf-8"?>
<sst xmlns="http://schemas.openxmlformats.org/spreadsheetml/2006/main" count="593" uniqueCount="8">
  <si>
    <t>店舗名</t>
  </si>
  <si>
    <t>Gap</t>
  </si>
  <si>
    <t>10</t>
  </si>
  <si>
    <t>家電</t>
  </si>
  <si>
    <t>衣料品</t>
  </si>
  <si>
    <t>食品</t>
  </si>
  <si>
    <t>日用品</t>
  </si>
  <si>
    <t>医療品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</si>
</sst>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6" formatCode="#"/>
  </numFmts>
  <fonts count="1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Yu Gothic"/>
      <family val="2"/>
    </font>
    <font>
      <b/>
      <u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Yu Gothic"/>
      <charset val="128"/>
    </font>
    <font>
      <sz val="11"/>
      <color theme="1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8"/>
      <color theme="1" tint="4.9989318521683403E-2"/>
      <name val="Aptos Narrow"/>
      <family val="2"/>
      <scheme val="minor"/>
    </font>
    <font>
      <sz val="12"/>
      <color theme="1"/>
      <name val="Yu Gothic Regula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7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3"/>
    <xf numFmtId="0" fontId="5" fillId="0" borderId="0" xfId="3" applyAlignment="1">
      <alignment horizontal="right"/>
    </xf>
    <xf numFmtId="0" fontId="7" fillId="0" borderId="0" xfId="3" applyFont="1"/>
    <xf numFmtId="49" fontId="5" fillId="0" borderId="0" xfId="3" applyNumberFormat="1"/>
    <xf numFmtId="0" fontId="5" fillId="0" borderId="1" xfId="3" applyBorder="1" applyAlignment="1">
      <alignment horizontal="right"/>
    </xf>
    <xf numFmtId="49" fontId="5" fillId="0" borderId="1" xfId="3" applyNumberFormat="1" applyBorder="1" applyAlignment="1">
      <alignment horizontal="right"/>
    </xf>
    <xf numFmtId="0" fontId="4" fillId="0" borderId="1" xfId="3" applyFont="1" applyBorder="1" applyAlignment="1">
      <alignment horizontal="right"/>
    </xf>
    <xf numFmtId="0" fontId="5" fillId="0" borderId="1" xfId="3" applyBorder="1"/>
    <xf numFmtId="0" fontId="8" fillId="0" borderId="1" xfId="3" applyFont="1" applyBorder="1"/>
    <xf numFmtId="0" fontId="4" fillId="0" borderId="0" xfId="3" applyFont="1"/>
    <xf numFmtId="49" fontId="4" fillId="0" borderId="0" xfId="3" applyNumberFormat="1" applyFont="1"/>
    <xf numFmtId="0" fontId="5" fillId="0" borderId="0" xfId="3" applyAlignment="1">
      <alignment horizontal="center" vertical="center"/>
    </xf>
    <xf numFmtId="0" fontId="4" fillId="0" borderId="0" xfId="3" applyFont="1" applyAlignment="1">
      <alignment horizontal="center" vertical="center"/>
    </xf>
    <xf numFmtId="49" fontId="5" fillId="0" borderId="0" xfId="3" applyNumberFormat="1" applyAlignment="1">
      <alignment horizontal="center" vertical="center"/>
    </xf>
    <xf numFmtId="49" fontId="3" fillId="0" borderId="0" xfId="3" applyNumberFormat="1" applyFont="1"/>
    <xf numFmtId="0" fontId="4" fillId="0" borderId="0" xfId="3" applyFont="1" applyAlignment="1">
      <alignment horizontal="right"/>
    </xf>
    <xf numFmtId="0" fontId="5" fillId="0" borderId="3" xfId="3" applyBorder="1"/>
    <xf numFmtId="0" fontId="5" fillId="0" borderId="4" xfId="3" applyBorder="1"/>
    <xf numFmtId="0" fontId="4" fillId="0" borderId="4" xfId="3" applyFont="1" applyBorder="1"/>
    <xf numFmtId="0" fontId="5" fillId="0" borderId="4" xfId="3" applyBorder="1" applyAlignment="1">
      <alignment horizontal="center" vertical="center"/>
    </xf>
    <xf numFmtId="0" fontId="5" fillId="0" borderId="5" xfId="3" applyBorder="1"/>
    <xf numFmtId="164" fontId="5" fillId="0" borderId="2" xfId="3" applyNumberFormat="1" applyBorder="1"/>
    <xf numFmtId="164" fontId="5" fillId="0" borderId="6" xfId="3" applyNumberFormat="1" applyBorder="1"/>
    <xf numFmtId="0" fontId="10" fillId="0" borderId="0" xfId="3" applyFont="1"/>
    <xf numFmtId="49" fontId="11" fillId="0" borderId="0" xfId="3" applyNumberFormat="1" applyFont="1"/>
    <xf numFmtId="0" fontId="9" fillId="2" borderId="0" xfId="3" applyFont="1" applyFill="1" applyAlignment="1">
      <alignment horizontal="left" vertical="center"/>
    </xf>
    <xf numFmtId="49" fontId="5" fillId="0" borderId="0" xfId="3" applyNumberFormat="1" applyAlignment="1">
      <alignment horizontal="right"/>
    </xf>
    <xf numFmtId="0" fontId="8" fillId="0" borderId="0" xfId="3" applyFont="1"/>
    <xf numFmtId="0" fontId="5" fillId="0" borderId="7" xfId="3" applyBorder="1" applyAlignment="1">
      <alignment horizontal="right"/>
    </xf>
    <xf numFmtId="0" fontId="2" fillId="0" borderId="0" xfId="3" applyFont="1"/>
    <xf numFmtId="0" fontId="12" fillId="2" borderId="0" xfId="3" applyFont="1" applyFill="1" applyAlignment="1">
      <alignment horizontal="left" vertical="center"/>
    </xf>
    <xf numFmtId="0" fontId="1" fillId="0" borderId="1" xfId="3" applyFont="1" applyBorder="1" applyAlignment="1">
      <alignment horizontal="right"/>
    </xf>
    <xf numFmtId="49" fontId="3" fillId="0" borderId="1" xfId="3" applyNumberFormat="1" applyFont="1" applyBorder="1" applyAlignment="1">
      <alignment horizontal="right"/>
    </xf>
    <xf numFmtId="0" fontId="8" fillId="0" borderId="1" xfId="3" applyFont="1" applyBorder="1" applyAlignment="1">
      <alignment horizontal="right"/>
    </xf>
    <xf numFmtId="49" fontId="3" fillId="0" borderId="0" xfId="3" applyNumberFormat="1" applyFont="1" applyAlignment="1">
      <alignment horizontal="right"/>
    </xf>
    <xf numFmtId="0" fontId="1" fillId="0" borderId="8" xfId="3" applyFont="1" applyBorder="1" applyAlignment="1">
      <alignment horizontal="right"/>
    </xf>
    <xf numFmtId="166" fontId="14" fillId="0" borderId="2" xfId="3" applyNumberFormat="1" applyFont="1" applyBorder="1"/>
    <xf numFmtId="0" fontId="15" fillId="0" borderId="0" xfId="3" applyFont="1"/>
    <xf numFmtId="166" fontId="16" fillId="0" borderId="2" xfId="3" applyNumberFormat="1" applyFont="1" applyBorder="1"/>
    <xf numFmtId="0" fontId="13" fillId="0" borderId="0" xfId="3" applyFont="1" applyAlignment="1">
      <alignment horizontal="center" vertical="center"/>
    </xf>
    <xf numFmtId="0" fontId="13" fillId="0" borderId="0" xfId="3" applyFont="1"/>
    <xf numFmtId="0" fontId="1" fillId="0" borderId="0" xfId="3" applyFont="1"/>
    <xf numFmtId="0" fontId="17" fillId="0" borderId="0" xfId="3" applyFont="1" applyAlignment="1">
      <alignment horizontal="center" vertical="center"/>
    </xf>
    <xf numFmtId="0" fontId="17" fillId="0" borderId="9" xfId="3" applyFont="1" applyBorder="1" applyAlignment="1">
      <alignment vertical="center"/>
    </xf>
    <xf numFmtId="166" fontId="17" fillId="0" borderId="10" xfId="3" applyNumberFormat="1" applyFont="1" applyBorder="1" applyAlignment="1">
      <alignment horizontal="right" vertical="center"/>
    </xf>
    <xf numFmtId="0" fontId="4" fillId="0" borderId="0" xfId="3" applyFont="1" applyBorder="1" applyAlignment="1">
      <alignment horizontal="right"/>
    </xf>
    <xf numFmtId="1" fontId="5" fillId="0" borderId="0" xfId="3" applyNumberFormat="1"/>
  </cellXfs>
  <cellStyles count="7">
    <cellStyle name="Normal" xfId="0" builtinId="0"/>
    <cellStyle name="Normal 2" xfId="1" xr:uid="{B885203C-BB45-C540-9EE1-D2C325DAA69F}"/>
    <cellStyle name="Normal 2 2" xfId="4" xr:uid="{7ABA6AA6-B179-4F38-A1CE-DE5D135F71C8}"/>
    <cellStyle name="Normal 3" xfId="3" xr:uid="{B3B379CD-0E0B-9949-BBB2-98BE938DAAE5}"/>
    <cellStyle name="Normal 3 2" xfId="5" xr:uid="{769DE9EC-68BF-43C4-A370-F96278394BCA}"/>
    <cellStyle name="Percent 2" xfId="2" xr:uid="{5F329108-EF82-E24E-9CF7-79D8CE7FA979}"/>
    <cellStyle name="Percent 2 2" xfId="6" xr:uid="{ABE7B3FE-4DEB-4CA4-B9DC-EDD9EFAA1606}"/>
  </cellStyles>
  <dxfs count="0"/>
  <tableStyles count="0" defaultTableStyle="TableStyleMedium2" defaultPivotStyle="PivotStyleLight16"/>
  <colors>
    <mruColors>
      <color rgb="FFFFE8CC"/>
      <color rgb="FF272B71"/>
      <color rgb="FFFDFDDC"/>
      <color rgb="FFD8EFB7"/>
      <color rgb="FFB1E2A0"/>
      <color rgb="FF8ACF94"/>
      <color rgb="FF3E5988"/>
      <color rgb="FF6CAB8D"/>
      <color rgb="FF54838C"/>
      <color rgb="FF85C0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600" b="1"/>
              <a:t>商品カテゴリ別店舗ごとの売上高の分布</a:t>
            </a:r>
          </a:p>
        </c:rich>
      </c:tx>
      <c:layout>
        <c:manualLayout>
          <c:xMode val="edge"/>
          <c:yMode val="edge"/>
          <c:x val="2.7754523267973886E-2"/>
          <c:y val="2.3478949617080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>
        <c:manualLayout>
          <c:layoutTarget val="inner"/>
          <c:xMode val="edge"/>
          <c:yMode val="edge"/>
          <c:x val="8.5483938814174959E-2"/>
          <c:y val="0.21795481956447529"/>
          <c:w val="0.84419623738855576"/>
          <c:h val="0.64916100198442173"/>
        </c:manualLayout>
      </c:layout>
      <c:areaChart>
        <c:grouping val="standard"/>
        <c:varyColors val="0"/>
        <c:ser>
          <c:idx val="0"/>
          <c:order val="0"/>
          <c:tx>
            <c:strRef>
              <c:f>'T-2-4-3 (分布) '!$K$8</c:f>
              <c:strCache>
                <c:ptCount val="1"/>
                <c:pt idx="0">
                  <c:v>食品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'T-2-4-3 (分布) '!$L$5:$BE$5</c:f>
              <c:numCache>
                <c:formatCode>@</c:formatCode>
                <c:ptCount val="46"/>
                <c:pt idx="0" formatCode="General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</c:numCache>
            </c:numRef>
          </c:cat>
          <c:val>
            <c:numRef>
              <c:f>'T-2-4-3 (分布) '!$L$8:$BE$8</c:f>
              <c:numCache>
                <c:formatCode>0</c:formatCode>
                <c:ptCount val="46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6</c:v>
                </c:pt>
                <c:pt idx="20">
                  <c:v>2</c:v>
                </c:pt>
                <c:pt idx="21">
                  <c:v>4</c:v>
                </c:pt>
                <c:pt idx="22">
                  <c:v>2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8-CE49-A122-82B980DB7DBD}"/>
            </c:ext>
          </c:extLst>
        </c:ser>
        <c:ser>
          <c:idx val="1"/>
          <c:order val="1"/>
          <c:tx>
            <c:strRef>
              <c:f>'T-2-4-3 (分布) '!$K$9</c:f>
              <c:strCache>
                <c:ptCount val="1"/>
                <c:pt idx="0">
                  <c:v>日用品</c:v>
                </c:pt>
              </c:strCache>
            </c:strRef>
          </c:tx>
          <c:spPr>
            <a:solidFill>
              <a:srgbClr val="ED7D31">
                <a:alpha val="25098"/>
              </a:srgbClr>
            </a:solidFill>
            <a:ln>
              <a:noFill/>
            </a:ln>
            <a:effectLst/>
          </c:spPr>
          <c:cat>
            <c:numRef>
              <c:f>'T-2-4-3 (分布) '!$L$5:$BE$5</c:f>
              <c:numCache>
                <c:formatCode>@</c:formatCode>
                <c:ptCount val="46"/>
                <c:pt idx="0" formatCode="General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</c:numCache>
            </c:numRef>
          </c:cat>
          <c:val>
            <c:numRef>
              <c:f>'T-2-4-3 (分布) '!$L$9:$BE$9</c:f>
              <c:numCache>
                <c:formatCode>0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7</c:v>
                </c:pt>
                <c:pt idx="10">
                  <c:v>4</c:v>
                </c:pt>
                <c:pt idx="11">
                  <c:v>5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6</c:v>
                </c:pt>
                <c:pt idx="23">
                  <c:v>4</c:v>
                </c:pt>
                <c:pt idx="24">
                  <c:v>5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28-CE49-A122-82B980DB7DBD}"/>
            </c:ext>
          </c:extLst>
        </c:ser>
        <c:ser>
          <c:idx val="2"/>
          <c:order val="2"/>
          <c:tx>
            <c:strRef>
              <c:f>'T-2-4-3 (分布) '!$K$10</c:f>
              <c:strCache>
                <c:ptCount val="1"/>
                <c:pt idx="0">
                  <c:v>衣料品</c:v>
                </c:pt>
              </c:strCache>
            </c:strRef>
          </c:tx>
          <c:spPr>
            <a:solidFill>
              <a:srgbClr val="A5A5A5">
                <a:alpha val="25098"/>
              </a:srgbClr>
            </a:solidFill>
            <a:ln>
              <a:noFill/>
            </a:ln>
            <a:effectLst/>
          </c:spPr>
          <c:cat>
            <c:numRef>
              <c:f>'T-2-4-3 (分布) '!$L$5:$BE$5</c:f>
              <c:numCache>
                <c:formatCode>@</c:formatCode>
                <c:ptCount val="46"/>
                <c:pt idx="0" formatCode="General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</c:numCache>
            </c:numRef>
          </c:cat>
          <c:val>
            <c:numRef>
              <c:f>'T-2-4-3 (分布) '!$L$10:$BE$10</c:f>
              <c:numCache>
                <c:formatCode>0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9</c:v>
                </c:pt>
                <c:pt idx="7">
                  <c:v>1</c:v>
                </c:pt>
                <c:pt idx="8">
                  <c:v>4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5</c:v>
                </c:pt>
                <c:pt idx="16">
                  <c:v>1</c:v>
                </c:pt>
                <c:pt idx="17">
                  <c:v>3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2</c:v>
                </c:pt>
                <c:pt idx="26">
                  <c:v>2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4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28-CE49-A122-82B980DB7DBD}"/>
            </c:ext>
          </c:extLst>
        </c:ser>
        <c:ser>
          <c:idx val="3"/>
          <c:order val="3"/>
          <c:tx>
            <c:strRef>
              <c:f>'T-2-4-3 (分布) '!$K$11</c:f>
              <c:strCache>
                <c:ptCount val="1"/>
                <c:pt idx="0">
                  <c:v>医療品</c:v>
                </c:pt>
              </c:strCache>
            </c:strRef>
          </c:tx>
          <c:spPr>
            <a:solidFill>
              <a:srgbClr val="FFC000">
                <a:alpha val="25098"/>
              </a:srgbClr>
            </a:solidFill>
            <a:ln>
              <a:noFill/>
            </a:ln>
            <a:effectLst/>
          </c:spPr>
          <c:cat>
            <c:numRef>
              <c:f>'T-2-4-3 (分布) '!$L$5:$BE$5</c:f>
              <c:numCache>
                <c:formatCode>@</c:formatCode>
                <c:ptCount val="46"/>
                <c:pt idx="0" formatCode="General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</c:numCache>
            </c:numRef>
          </c:cat>
          <c:val>
            <c:numRef>
              <c:f>'T-2-4-3 (分布) '!$L$11:$BE$11</c:f>
              <c:numCache>
                <c:formatCode>0</c:formatCode>
                <c:ptCount val="46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6</c:v>
                </c:pt>
                <c:pt idx="20">
                  <c:v>8</c:v>
                </c:pt>
                <c:pt idx="21">
                  <c:v>3</c:v>
                </c:pt>
                <c:pt idx="22">
                  <c:v>7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28-CE49-A122-82B980DB7DBD}"/>
            </c:ext>
          </c:extLst>
        </c:ser>
        <c:ser>
          <c:idx val="4"/>
          <c:order val="4"/>
          <c:tx>
            <c:strRef>
              <c:f>'T-2-4-3 (分布) '!$K$12</c:f>
              <c:strCache>
                <c:ptCount val="1"/>
                <c:pt idx="0">
                  <c:v>家電</c:v>
                </c:pt>
              </c:strCache>
            </c:strRef>
          </c:tx>
          <c:spPr>
            <a:solidFill>
              <a:srgbClr val="5B9BD5">
                <a:alpha val="25098"/>
              </a:srgbClr>
            </a:solidFill>
            <a:ln>
              <a:noFill/>
            </a:ln>
            <a:effectLst/>
          </c:spPr>
          <c:cat>
            <c:numRef>
              <c:f>'T-2-4-3 (分布) '!$L$5:$BE$5</c:f>
              <c:numCache>
                <c:formatCode>@</c:formatCode>
                <c:ptCount val="46"/>
                <c:pt idx="0" formatCode="General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</c:numCache>
            </c:numRef>
          </c:cat>
          <c:val>
            <c:numRef>
              <c:f>'T-2-4-3 (分布) '!$L$12:$BE$12</c:f>
              <c:numCache>
                <c:formatCode>0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4</c:v>
                </c:pt>
                <c:pt idx="24">
                  <c:v>7</c:v>
                </c:pt>
                <c:pt idx="25">
                  <c:v>5</c:v>
                </c:pt>
                <c:pt idx="26">
                  <c:v>6</c:v>
                </c:pt>
                <c:pt idx="27">
                  <c:v>3</c:v>
                </c:pt>
                <c:pt idx="28">
                  <c:v>3</c:v>
                </c:pt>
                <c:pt idx="29">
                  <c:v>8</c:v>
                </c:pt>
                <c:pt idx="30">
                  <c:v>5</c:v>
                </c:pt>
                <c:pt idx="31">
                  <c:v>7</c:v>
                </c:pt>
                <c:pt idx="32">
                  <c:v>5</c:v>
                </c:pt>
                <c:pt idx="33">
                  <c:v>6</c:v>
                </c:pt>
                <c:pt idx="34">
                  <c:v>3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6</c:v>
                </c:pt>
                <c:pt idx="4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28-CE49-A122-82B980DB7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453631"/>
        <c:axId val="336096975"/>
      </c:areaChart>
      <c:catAx>
        <c:axId val="3364536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en-JP"/>
          </a:p>
        </c:txPr>
        <c:crossAx val="336096975"/>
        <c:crosses val="autoZero"/>
        <c:auto val="1"/>
        <c:lblAlgn val="ctr"/>
        <c:lblOffset val="100"/>
        <c:tickMarkSkip val="2"/>
        <c:noMultiLvlLbl val="0"/>
      </c:catAx>
      <c:valAx>
        <c:axId val="3360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en-JP"/>
          </a:p>
        </c:txPr>
        <c:crossAx val="336453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9219605607812586E-3"/>
          <c:y val="0.10930372444965071"/>
          <c:w val="0.63688486146823176"/>
          <c:h val="7.49718145486464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ea"/>
              <a:ea typeface="+mn-ea"/>
              <a:cs typeface="+mn-cs"/>
            </a:defRPr>
          </a:pPr>
          <a:endParaRPr lang="en-JP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661BAE8A-8B64-FE41-97A7-D5C42A967730}">
          <cx:tx>
            <cx:txData>
              <cx:f>_xlchart.v1.0</cx:f>
              <cx:v>食品</cx:v>
            </cx:txData>
          </cx:tx>
          <cx:dataId val="0"/>
          <cx:layoutPr>
            <cx:binning intervalClosed="r" underflow="auto">
              <cx:binCount val="10"/>
            </cx:binning>
          </cx:layoutPr>
        </cx:series>
      </cx:plotAreaRegion>
      <cx:axis id="0">
        <cx:catScaling gapWidth="0.10000000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297707C3-13D3-A349-BC10-577F5E1302CA}">
          <cx:tx>
            <cx:txData>
              <cx:f>_xlchart.v1.2</cx:f>
              <cx:v>日用品</cx:v>
            </cx:txData>
          </cx:tx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.10000000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/>
    <cx:plotArea>
      <cx:plotAreaRegion>
        <cx:series layoutId="clusteredColumn" uniqueId="{E879CCAD-36DF-9D46-BDE5-405FB3E9F225}">
          <cx:tx>
            <cx:txData>
              <cx:f>_xlchart.v1.14</cx:f>
              <cx:v>衣料品</cx:v>
            </cx:txData>
          </cx:tx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.10000000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  <cx:data id="2">
      <cx:numDim type="val">
        <cx:f>_xlchart.v1.9</cx:f>
      </cx:numDim>
    </cx:data>
    <cx:data id="3">
      <cx:numDim type="val">
        <cx:f>_xlchart.v1.11</cx:f>
      </cx:numDim>
    </cx:data>
    <cx:data id="4"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ja-JP" sz="1800" b="1" i="0" baseline="0">
                <a:effectLst/>
              </a:rPr>
              <a:t>製品別売り上げ個数の分布</a:t>
            </a:r>
            <a:endParaRPr lang="en-US" sz="1400">
              <a:effectLst/>
            </a:endParaRPr>
          </a:p>
        </cx:rich>
      </cx:tx>
    </cx:title>
    <cx:plotArea>
      <cx:plotAreaRegion>
        <cx:series layoutId="boxWhisker" uniqueId="{B3A4CD6F-54D3-44D0-A685-456D3AA6525B}">
          <cx:tx>
            <cx:txData>
              <cx:f>_xlchart.v1.4</cx:f>
              <cx:v>食品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E5AB90A-29DF-4E19-92E3-F61024E6789A}">
          <cx:tx>
            <cx:txData>
              <cx:f>_xlchart.v1.6</cx:f>
              <cx:v>日用品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C951A99-FC54-4F19-BC6F-0109A589202D}">
          <cx:tx>
            <cx:txData>
              <cx:f>_xlchart.v1.8</cx:f>
              <cx:v>衣料品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A512EEE2-FE23-46F0-9CA0-1571B6FDDAC5}">
          <cx:tx>
            <cx:txData>
              <cx:f>_xlchart.v1.10</cx:f>
              <cx:v>医療品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7567715-1213-48A3-B0E1-E07DDA34CF82}">
          <cx:tx>
            <cx:txData>
              <cx:f>_xlchart.v1.12</cx:f>
              <cx:v>家電</cx:v>
            </cx:txData>
          </cx:tx>
          <cx:dataId val="4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0.100000001"/>
        <cx:tickLabels/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ja-JP" alt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/>
              <a:ea typeface="游ゴシック"/>
            </a:endParaRPr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_xlchart.v1.17</cx:f>
      </cx:numDim>
    </cx:data>
  </cx:chartData>
  <cx:chart>
    <cx:title pos="t" align="ctr" overlay="0">
      <cx:tx>
        <cx:txData>
          <cx:v>商品カテゴリ別店舗ごとの売上高の分布</cx:v>
        </cx:txData>
      </cx:tx>
      <cx:txPr>
        <a:bodyPr spcFirstLastPara="1" vertOverflow="ellipsis" horzOverflow="overflow" wrap="square" lIns="0" tIns="0" rIns="0" bIns="0" anchor="ctr" anchorCtr="1"/>
        <a:lstStyle/>
        <a:p>
          <a:pPr rtl="0"/>
          <a:r>
            <a:rPr lang="ja-JP" altLang="en-US" sz="16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Yu Gothic" panose="020B0400000000000000" pitchFamily="34" charset="-128"/>
              <a:ea typeface="Yu Gothic" panose="020B0400000000000000" pitchFamily="34" charset="-128"/>
            </a:rPr>
            <a:t>商品カテゴリ別店舗ごとの売上高の分布</a:t>
          </a:r>
        </a:p>
      </cx:txPr>
    </cx:title>
    <cx:plotArea>
      <cx:plotAreaRegion>
        <cx:series layoutId="boxWhisker" uniqueId="{FB6E90D5-2A8D-49FD-B72D-DDB7690190AD}">
          <cx:spPr>
            <a:solidFill>
              <a:schemeClr val="accent1">
                <a:lumMod val="60000"/>
                <a:lumOff val="40000"/>
              </a:schemeClr>
            </a:solidFill>
          </cx:spPr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/>
              <a:ea typeface="游ゴシック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="0">
                <a:latin typeface="+mn-ea"/>
                <a:ea typeface="+mn-ea"/>
              </a:defRPr>
            </a:pP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ea"/>
              <a:ea typeface="+mn-ea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5.xml"/><Relationship Id="rId5" Type="http://schemas.microsoft.com/office/2014/relationships/chartEx" Target="../charts/chartEx4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8116829</xdr:colOff>
      <xdr:row>52</xdr:row>
      <xdr:rowOff>127000</xdr:rowOff>
    </xdr:from>
    <xdr:to>
      <xdr:col>8</xdr:col>
      <xdr:colOff>13309600</xdr:colOff>
      <xdr:row>72</xdr:row>
      <xdr:rowOff>150965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DDE0E169-87EA-AE86-A9E6-6370A94E2B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64129" y="10718800"/>
              <a:ext cx="0" cy="4087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2005419</xdr:colOff>
      <xdr:row>54</xdr:row>
      <xdr:rowOff>25164</xdr:rowOff>
    </xdr:from>
    <xdr:to>
      <xdr:col>8</xdr:col>
      <xdr:colOff>7680639</xdr:colOff>
      <xdr:row>76</xdr:row>
      <xdr:rowOff>108416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4CF7882-3B74-F846-8DBC-12CDF43424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61419" y="11023364"/>
              <a:ext cx="0" cy="45663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4343671</xdr:colOff>
      <xdr:row>34</xdr:row>
      <xdr:rowOff>187895</xdr:rowOff>
    </xdr:from>
    <xdr:to>
      <xdr:col>8</xdr:col>
      <xdr:colOff>8593536</xdr:colOff>
      <xdr:row>55</xdr:row>
      <xdr:rowOff>27107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2C5444C8-E370-1041-A692-E41D82469F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62871" y="7122095"/>
              <a:ext cx="0" cy="4106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121358</xdr:colOff>
      <xdr:row>39</xdr:row>
      <xdr:rowOff>124488</xdr:rowOff>
    </xdr:from>
    <xdr:to>
      <xdr:col>43</xdr:col>
      <xdr:colOff>10881</xdr:colOff>
      <xdr:row>58</xdr:row>
      <xdr:rowOff>9289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AC6975-6042-245F-D4ED-B688811B9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3966029</xdr:colOff>
      <xdr:row>2</xdr:row>
      <xdr:rowOff>192313</xdr:rowOff>
    </xdr:from>
    <xdr:to>
      <xdr:col>8</xdr:col>
      <xdr:colOff>9078970</xdr:colOff>
      <xdr:row>21</xdr:row>
      <xdr:rowOff>59692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62D029D6-B614-D480-08D3-F53A81A358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66229" y="598713"/>
              <a:ext cx="0" cy="3753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205284</xdr:colOff>
      <xdr:row>15</xdr:row>
      <xdr:rowOff>153196</xdr:rowOff>
    </xdr:from>
    <xdr:to>
      <xdr:col>46</xdr:col>
      <xdr:colOff>174789</xdr:colOff>
      <xdr:row>34</xdr:row>
      <xdr:rowOff>58487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57E01AD1-E73D-D63D-0330-C9145A4C21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38084" y="3235063"/>
              <a:ext cx="7589505" cy="37660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32</xdr:col>
      <xdr:colOff>31803</xdr:colOff>
      <xdr:row>42</xdr:row>
      <xdr:rowOff>55624</xdr:rowOff>
    </xdr:from>
    <xdr:to>
      <xdr:col>36</xdr:col>
      <xdr:colOff>48472</xdr:colOff>
      <xdr:row>43</xdr:row>
      <xdr:rowOff>73076</xdr:rowOff>
    </xdr:to>
    <xdr:sp macro="" textlink="">
      <xdr:nvSpPr>
        <xdr:cNvPr id="10" name="テキスト ボックス 26">
          <a:extLst>
            <a:ext uri="{FF2B5EF4-FFF2-40B4-BE49-F238E27FC236}">
              <a16:creationId xmlns:a16="http://schemas.microsoft.com/office/drawing/2014/main" id="{7FBB8932-1895-7546-B0AB-6985405F4783}"/>
            </a:ext>
          </a:extLst>
        </xdr:cNvPr>
        <xdr:cNvSpPr txBox="1"/>
      </xdr:nvSpPr>
      <xdr:spPr>
        <a:xfrm>
          <a:off x="10557563" y="8620504"/>
          <a:ext cx="585629" cy="220652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</a:rPr>
            <a:t>(万円)</a:t>
          </a:r>
        </a:p>
      </xdr:txBody>
    </xdr:sp>
    <xdr:clientData/>
  </xdr:twoCellAnchor>
  <xdr:twoCellAnchor>
    <xdr:from>
      <xdr:col>59</xdr:col>
      <xdr:colOff>29199</xdr:colOff>
      <xdr:row>21</xdr:row>
      <xdr:rowOff>14599</xdr:rowOff>
    </xdr:from>
    <xdr:to>
      <xdr:col>59</xdr:col>
      <xdr:colOff>378970</xdr:colOff>
      <xdr:row>26</xdr:row>
      <xdr:rowOff>40574</xdr:rowOff>
    </xdr:to>
    <xdr:sp macro="" textlink="">
      <xdr:nvSpPr>
        <xdr:cNvPr id="7" name="テキスト ボックス 25">
          <a:extLst>
            <a:ext uri="{FF2B5EF4-FFF2-40B4-BE49-F238E27FC236}">
              <a16:creationId xmlns:a16="http://schemas.microsoft.com/office/drawing/2014/main" id="{0A70450E-3340-A542-89B4-EBCD784DBA29}"/>
            </a:ext>
          </a:extLst>
        </xdr:cNvPr>
        <xdr:cNvSpPr txBox="1"/>
      </xdr:nvSpPr>
      <xdr:spPr>
        <a:xfrm rot="16200000">
          <a:off x="37094085" y="4640747"/>
          <a:ext cx="1135401" cy="349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200" b="1"/>
            <a:t>金額（円）</a:t>
          </a:r>
          <a:endParaRPr lang="en-US" sz="1200" b="1"/>
        </a:p>
      </xdr:txBody>
    </xdr:sp>
    <xdr:clientData/>
  </xdr:twoCellAnchor>
  <xdr:twoCellAnchor>
    <xdr:from>
      <xdr:col>61</xdr:col>
      <xdr:colOff>82872</xdr:colOff>
      <xdr:row>1</xdr:row>
      <xdr:rowOff>79095</xdr:rowOff>
    </xdr:from>
    <xdr:to>
      <xdr:col>63</xdr:col>
      <xdr:colOff>332200</xdr:colOff>
      <xdr:row>2</xdr:row>
      <xdr:rowOff>194463</xdr:rowOff>
    </xdr:to>
    <xdr:sp macro="" textlink="">
      <xdr:nvSpPr>
        <xdr:cNvPr id="8" name="テキスト ボックス 25">
          <a:extLst>
            <a:ext uri="{FF2B5EF4-FFF2-40B4-BE49-F238E27FC236}">
              <a16:creationId xmlns:a16="http://schemas.microsoft.com/office/drawing/2014/main" id="{CED43863-5B7D-EF4C-841F-26DBF5E16D39}"/>
            </a:ext>
          </a:extLst>
        </xdr:cNvPr>
        <xdr:cNvSpPr txBox="1"/>
      </xdr:nvSpPr>
      <xdr:spPr>
        <a:xfrm>
          <a:off x="37892586" y="278666"/>
          <a:ext cx="1283471" cy="314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ja-JP" altLang="en-US" sz="1400" b="1">
              <a:latin typeface="Yu Gothic" panose="020B0400000000000000" pitchFamily="34" charset="-128"/>
              <a:ea typeface="Yu Gothic" panose="020B0400000000000000" pitchFamily="34" charset="-128"/>
            </a:rPr>
            <a:t>製品カテゴリ</a:t>
          </a:r>
          <a:endParaRPr lang="en-US" sz="1400" b="1">
            <a:latin typeface="Yu Gothic" panose="020B0400000000000000" pitchFamily="34" charset="-128"/>
            <a:ea typeface="Yu Gothic" panose="020B0400000000000000" pitchFamily="34" charset="-128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0.05812</cdr:x>
      <cdr:y>0.17299</cdr:y>
    </cdr:from>
    <cdr:to>
      <cdr:x>0.21717</cdr:x>
      <cdr:y>0.23595</cdr:y>
    </cdr:to>
    <cdr:sp macro="" textlink="">
      <cdr:nvSpPr>
        <cdr:cNvPr id="2" name="テキスト ボックス 26">
          <a:extLst xmlns:a="http://schemas.openxmlformats.org/drawingml/2006/main">
            <a:ext uri="{FF2B5EF4-FFF2-40B4-BE49-F238E27FC236}">
              <a16:creationId xmlns:a16="http://schemas.microsoft.com/office/drawing/2014/main" id="{7FBB8932-1895-7546-B0AB-6985405F4783}"/>
            </a:ext>
          </a:extLst>
        </cdr:cNvPr>
        <cdr:cNvSpPr txBox="1"/>
      </cdr:nvSpPr>
      <cdr:spPr>
        <a:xfrm xmlns:a="http://schemas.openxmlformats.org/drawingml/2006/main">
          <a:off x="332510" y="649979"/>
          <a:ext cx="909960" cy="23652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</a:rPr>
            <a:t>(店舗数)</a:t>
          </a:r>
        </a:p>
      </cdr:txBody>
    </cdr:sp>
  </cdr:relSizeAnchor>
  <cdr:relSizeAnchor xmlns:cdr="http://schemas.openxmlformats.org/drawingml/2006/chartDrawing">
    <cdr:from>
      <cdr:x>0.89053</cdr:x>
      <cdr:y>0.9265</cdr:y>
    </cdr:from>
    <cdr:to>
      <cdr:x>0.99399</cdr:x>
      <cdr:y>0.99225</cdr:y>
    </cdr:to>
    <cdr:sp macro="" textlink="">
      <cdr:nvSpPr>
        <cdr:cNvPr id="3" name="テキスト ボックス 26">
          <a:extLst xmlns:a="http://schemas.openxmlformats.org/drawingml/2006/main">
            <a:ext uri="{FF2B5EF4-FFF2-40B4-BE49-F238E27FC236}">
              <a16:creationId xmlns:a16="http://schemas.microsoft.com/office/drawing/2014/main" id="{7FBB8932-1895-7546-B0AB-6985405F4783}"/>
            </a:ext>
          </a:extLst>
        </cdr:cNvPr>
        <cdr:cNvSpPr txBox="1"/>
      </cdr:nvSpPr>
      <cdr:spPr>
        <a:xfrm xmlns:a="http://schemas.openxmlformats.org/drawingml/2006/main">
          <a:off x="4963935" y="3451437"/>
          <a:ext cx="576695" cy="2449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>
              <a:latin typeface="Yu Gothic" panose="020B0400000000000000" pitchFamily="34" charset="-128"/>
              <a:ea typeface="Yu Gothic" panose="020B0400000000000000" pitchFamily="34" charset="-128"/>
            </a:rPr>
            <a:t>(万円)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330;&#23637;5_&#12399;&#12441;&#12425;&#12388;&#1236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-2-5-1(地理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ユーザー定義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6DA79B"/>
      </a:accent1>
      <a:accent2>
        <a:srgbClr val="3A7F9F"/>
      </a:accent2>
      <a:accent3>
        <a:srgbClr val="D2615E"/>
      </a:accent3>
      <a:accent4>
        <a:srgbClr val="E9C67E"/>
      </a:accent4>
      <a:accent5>
        <a:srgbClr val="923516"/>
      </a:accent5>
      <a:accent6>
        <a:srgbClr val="5FB535"/>
      </a:accent6>
      <a:hlink>
        <a:srgbClr val="C8C9C6"/>
      </a:hlink>
      <a:folHlink>
        <a:srgbClr val="954F72"/>
      </a:folHlink>
    </a:clrScheme>
    <a:fontScheme name="ユーザー定義 1">
      <a:majorFont>
        <a:latin typeface="Aptos"/>
        <a:ea typeface="游ゴシック Light"/>
        <a:cs typeface=""/>
      </a:majorFont>
      <a:minorFont>
        <a:latin typeface="Aptos Narrow"/>
        <a:ea typeface="游ゴシック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8817-F792-AD43-93A3-9E207C9E478E}">
  <dimension ref="B1:BM577"/>
  <sheetViews>
    <sheetView showGridLines="0" tabSelected="1" topLeftCell="A2" zoomScale="75" zoomScaleNormal="206" workbookViewId="0">
      <selection activeCell="M27" sqref="M27"/>
    </sheetView>
  </sheetViews>
  <sheetFormatPr baseColWidth="10" defaultColWidth="12.5" defaultRowHeight="16" x14ac:dyDescent="0.2"/>
  <cols>
    <col min="1" max="1" width="3.6640625" style="1" customWidth="1"/>
    <col min="2" max="2" width="7.1640625" style="1" customWidth="1"/>
    <col min="3" max="8" width="8.33203125" style="1" customWidth="1"/>
    <col min="9" max="9" width="12.1640625" style="2" customWidth="1"/>
    <col min="10" max="10" width="12.1640625" style="1" customWidth="1"/>
    <col min="11" max="11" width="8" style="1" customWidth="1"/>
    <col min="12" max="34" width="3.33203125" style="1" customWidth="1"/>
    <col min="35" max="39" width="3.33203125" style="12" customWidth="1"/>
    <col min="40" max="59" width="3.33203125" style="1" customWidth="1"/>
    <col min="60" max="60" width="8.5" style="1" customWidth="1"/>
    <col min="61" max="65" width="6.83203125" style="1" customWidth="1"/>
    <col min="66" max="16384" width="12.5" style="1"/>
  </cols>
  <sheetData>
    <row r="1" spans="2:65" x14ac:dyDescent="0.2">
      <c r="U1" s="10"/>
    </row>
    <row r="2" spans="2:65" x14ac:dyDescent="0.2">
      <c r="B2" s="7" t="s">
        <v>0</v>
      </c>
      <c r="C2" s="32" t="s">
        <v>5</v>
      </c>
      <c r="D2" s="32" t="s">
        <v>6</v>
      </c>
      <c r="E2" s="32" t="s">
        <v>4</v>
      </c>
      <c r="F2" s="32" t="s">
        <v>7</v>
      </c>
      <c r="G2" s="32" t="s">
        <v>3</v>
      </c>
      <c r="H2" s="16"/>
      <c r="AH2" s="10"/>
      <c r="AI2" s="13"/>
      <c r="AJ2" s="13"/>
      <c r="AK2" s="13"/>
      <c r="AL2" s="13"/>
      <c r="AM2" s="13"/>
    </row>
    <row r="3" spans="2:65" x14ac:dyDescent="0.2">
      <c r="B3" s="7" t="str">
        <f>"#"&amp;ROW()-2</f>
        <v>#1</v>
      </c>
      <c r="C3" s="6">
        <v>300</v>
      </c>
      <c r="D3" s="6">
        <v>250</v>
      </c>
      <c r="E3" s="6">
        <v>320</v>
      </c>
      <c r="F3" s="6">
        <v>210</v>
      </c>
      <c r="G3" s="6">
        <v>450</v>
      </c>
      <c r="H3" s="32" t="s">
        <v>5</v>
      </c>
      <c r="I3" s="6">
        <v>300</v>
      </c>
      <c r="J3" s="27"/>
      <c r="K3" s="4"/>
      <c r="L3" s="10" t="s">
        <v>1</v>
      </c>
      <c r="M3" s="11" t="s">
        <v>2</v>
      </c>
      <c r="N3" s="4"/>
      <c r="O3" s="4"/>
      <c r="P3" s="4"/>
      <c r="Q3" s="4"/>
      <c r="R3" s="4"/>
      <c r="S3" s="4"/>
      <c r="T3" s="4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4"/>
      <c r="AJ3" s="14"/>
      <c r="AK3" s="14"/>
      <c r="AL3" s="14"/>
    </row>
    <row r="4" spans="2:65" ht="18" x14ac:dyDescent="0.2">
      <c r="B4" s="7" t="str">
        <f t="shared" ref="B4:B67" si="0">"#"&amp;ROW()-2</f>
        <v>#2</v>
      </c>
      <c r="C4" s="5">
        <v>280</v>
      </c>
      <c r="D4" s="5">
        <v>300</v>
      </c>
      <c r="E4" s="5">
        <v>310</v>
      </c>
      <c r="F4" s="5">
        <v>230</v>
      </c>
      <c r="G4" s="5">
        <v>500</v>
      </c>
      <c r="H4" s="32" t="s">
        <v>5</v>
      </c>
      <c r="I4" s="5">
        <v>280</v>
      </c>
      <c r="J4" s="2"/>
      <c r="AH4" s="10"/>
      <c r="BH4" s="42"/>
      <c r="BI4" s="43" t="s">
        <v>5</v>
      </c>
      <c r="BJ4" s="43" t="s">
        <v>6</v>
      </c>
      <c r="BK4" s="43" t="s">
        <v>4</v>
      </c>
      <c r="BL4" s="43" t="s">
        <v>7</v>
      </c>
      <c r="BM4" s="43" t="s">
        <v>3</v>
      </c>
    </row>
    <row r="5" spans="2:65" ht="16" customHeight="1" x14ac:dyDescent="0.2">
      <c r="B5" s="7" t="str">
        <f t="shared" si="0"/>
        <v>#3</v>
      </c>
      <c r="C5" s="5">
        <v>270</v>
      </c>
      <c r="D5" s="5">
        <v>310</v>
      </c>
      <c r="E5" s="5">
        <v>295</v>
      </c>
      <c r="F5" s="5">
        <v>220</v>
      </c>
      <c r="G5" s="5">
        <v>475</v>
      </c>
      <c r="H5" s="32" t="s">
        <v>5</v>
      </c>
      <c r="I5" s="5">
        <v>270</v>
      </c>
      <c r="J5" s="2"/>
      <c r="L5" s="3">
        <v>0</v>
      </c>
      <c r="M5" s="4">
        <f>L5+$M$3</f>
        <v>10</v>
      </c>
      <c r="N5" s="4">
        <f t="shared" ref="N5:V5" si="1">M5+$M$3</f>
        <v>20</v>
      </c>
      <c r="O5" s="4">
        <f t="shared" si="1"/>
        <v>30</v>
      </c>
      <c r="P5" s="4">
        <f t="shared" si="1"/>
        <v>40</v>
      </c>
      <c r="Q5" s="4">
        <f t="shared" si="1"/>
        <v>50</v>
      </c>
      <c r="R5" s="4">
        <f t="shared" si="1"/>
        <v>60</v>
      </c>
      <c r="S5" s="4">
        <f t="shared" si="1"/>
        <v>70</v>
      </c>
      <c r="T5" s="4">
        <f t="shared" si="1"/>
        <v>80</v>
      </c>
      <c r="U5" s="4">
        <f t="shared" si="1"/>
        <v>90</v>
      </c>
      <c r="V5" s="4">
        <f t="shared" si="1"/>
        <v>100</v>
      </c>
      <c r="W5" s="4">
        <f t="shared" ref="W5:AQ5" si="2">V5+$M$3</f>
        <v>110</v>
      </c>
      <c r="X5" s="4">
        <f t="shared" si="2"/>
        <v>120</v>
      </c>
      <c r="Y5" s="4">
        <f t="shared" si="2"/>
        <v>130</v>
      </c>
      <c r="Z5" s="4">
        <f t="shared" si="2"/>
        <v>140</v>
      </c>
      <c r="AA5" s="4">
        <f t="shared" si="2"/>
        <v>150</v>
      </c>
      <c r="AB5" s="4">
        <f t="shared" si="2"/>
        <v>160</v>
      </c>
      <c r="AC5" s="4">
        <f t="shared" si="2"/>
        <v>170</v>
      </c>
      <c r="AD5" s="4">
        <f t="shared" si="2"/>
        <v>180</v>
      </c>
      <c r="AE5" s="4">
        <f t="shared" si="2"/>
        <v>190</v>
      </c>
      <c r="AF5" s="4">
        <f t="shared" si="2"/>
        <v>200</v>
      </c>
      <c r="AG5" s="4">
        <f t="shared" si="2"/>
        <v>210</v>
      </c>
      <c r="AH5" s="4">
        <f t="shared" si="2"/>
        <v>220</v>
      </c>
      <c r="AI5" s="4">
        <f t="shared" si="2"/>
        <v>230</v>
      </c>
      <c r="AJ5" s="4">
        <f t="shared" si="2"/>
        <v>240</v>
      </c>
      <c r="AK5" s="4">
        <f t="shared" si="2"/>
        <v>250</v>
      </c>
      <c r="AL5" s="4">
        <f t="shared" si="2"/>
        <v>260</v>
      </c>
      <c r="AM5" s="4">
        <f t="shared" si="2"/>
        <v>270</v>
      </c>
      <c r="AN5" s="4">
        <f t="shared" si="2"/>
        <v>280</v>
      </c>
      <c r="AO5" s="4">
        <f t="shared" si="2"/>
        <v>290</v>
      </c>
      <c r="AP5" s="4">
        <f t="shared" si="2"/>
        <v>300</v>
      </c>
      <c r="AQ5" s="4">
        <f t="shared" si="2"/>
        <v>310</v>
      </c>
      <c r="AR5" s="4">
        <f t="shared" ref="AR5:AW5" si="3">AQ5+$M$3</f>
        <v>320</v>
      </c>
      <c r="AS5" s="4">
        <f t="shared" si="3"/>
        <v>330</v>
      </c>
      <c r="AT5" s="4">
        <f t="shared" si="3"/>
        <v>340</v>
      </c>
      <c r="AU5" s="4">
        <f t="shared" si="3"/>
        <v>350</v>
      </c>
      <c r="AV5" s="4">
        <f t="shared" si="3"/>
        <v>360</v>
      </c>
      <c r="AW5" s="4">
        <f t="shared" si="3"/>
        <v>370</v>
      </c>
      <c r="AX5" s="4">
        <f t="shared" ref="AX5:BE5" si="4">AW5+$M$3</f>
        <v>380</v>
      </c>
      <c r="AY5" s="4">
        <f t="shared" si="4"/>
        <v>390</v>
      </c>
      <c r="AZ5" s="4">
        <f t="shared" si="4"/>
        <v>400</v>
      </c>
      <c r="BA5" s="4">
        <f t="shared" si="4"/>
        <v>410</v>
      </c>
      <c r="BB5" s="4">
        <f t="shared" si="4"/>
        <v>420</v>
      </c>
      <c r="BC5" s="4">
        <f t="shared" si="4"/>
        <v>430</v>
      </c>
      <c r="BD5" s="4">
        <f t="shared" si="4"/>
        <v>440</v>
      </c>
      <c r="BE5" s="4">
        <f t="shared" si="4"/>
        <v>450</v>
      </c>
      <c r="BF5" s="4"/>
      <c r="BH5" s="44">
        <v>0</v>
      </c>
      <c r="BI5" s="45">
        <v>4</v>
      </c>
      <c r="BJ5" s="45">
        <v>0</v>
      </c>
      <c r="BK5" s="45">
        <v>0</v>
      </c>
      <c r="BL5" s="45">
        <v>1</v>
      </c>
      <c r="BM5" s="45">
        <v>0</v>
      </c>
    </row>
    <row r="6" spans="2:65" ht="16" customHeight="1" x14ac:dyDescent="0.2">
      <c r="B6" s="7" t="str">
        <f t="shared" si="0"/>
        <v>#4</v>
      </c>
      <c r="C6" s="5">
        <v>260</v>
      </c>
      <c r="D6" s="5">
        <v>300</v>
      </c>
      <c r="E6" s="5">
        <v>280</v>
      </c>
      <c r="F6" s="5">
        <v>240</v>
      </c>
      <c r="G6" s="5">
        <v>460</v>
      </c>
      <c r="H6" s="32" t="s">
        <v>5</v>
      </c>
      <c r="I6" s="5">
        <v>260</v>
      </c>
      <c r="J6" s="2"/>
      <c r="L6" s="4">
        <f>L5+$M$3</f>
        <v>10</v>
      </c>
      <c r="M6" s="4">
        <f>M5+$M$3</f>
        <v>20</v>
      </c>
      <c r="N6" s="4">
        <f t="shared" ref="N6:V6" si="5">N5+$M$3</f>
        <v>30</v>
      </c>
      <c r="O6" s="4">
        <f t="shared" si="5"/>
        <v>40</v>
      </c>
      <c r="P6" s="4">
        <f t="shared" si="5"/>
        <v>50</v>
      </c>
      <c r="Q6" s="4">
        <f t="shared" si="5"/>
        <v>60</v>
      </c>
      <c r="R6" s="4">
        <f t="shared" si="5"/>
        <v>70</v>
      </c>
      <c r="S6" s="4">
        <f t="shared" si="5"/>
        <v>80</v>
      </c>
      <c r="T6" s="4">
        <f t="shared" si="5"/>
        <v>90</v>
      </c>
      <c r="U6" s="4">
        <f t="shared" si="5"/>
        <v>100</v>
      </c>
      <c r="V6" s="4">
        <f t="shared" si="5"/>
        <v>110</v>
      </c>
      <c r="W6" s="4">
        <f t="shared" ref="W6:BE6" si="6">W5+$M$3</f>
        <v>120</v>
      </c>
      <c r="X6" s="4">
        <f t="shared" si="6"/>
        <v>130</v>
      </c>
      <c r="Y6" s="4">
        <f t="shared" si="6"/>
        <v>140</v>
      </c>
      <c r="Z6" s="4">
        <f t="shared" si="6"/>
        <v>150</v>
      </c>
      <c r="AA6" s="4">
        <f t="shared" si="6"/>
        <v>160</v>
      </c>
      <c r="AB6" s="4">
        <f t="shared" si="6"/>
        <v>170</v>
      </c>
      <c r="AC6" s="4">
        <f t="shared" si="6"/>
        <v>180</v>
      </c>
      <c r="AD6" s="4">
        <f t="shared" si="6"/>
        <v>190</v>
      </c>
      <c r="AE6" s="4">
        <f t="shared" si="6"/>
        <v>200</v>
      </c>
      <c r="AF6" s="4">
        <f t="shared" si="6"/>
        <v>210</v>
      </c>
      <c r="AG6" s="4">
        <f t="shared" si="6"/>
        <v>220</v>
      </c>
      <c r="AH6" s="4">
        <f t="shared" si="6"/>
        <v>230</v>
      </c>
      <c r="AI6" s="4">
        <f t="shared" si="6"/>
        <v>240</v>
      </c>
      <c r="AJ6" s="4">
        <f t="shared" si="6"/>
        <v>250</v>
      </c>
      <c r="AK6" s="4">
        <f t="shared" si="6"/>
        <v>260</v>
      </c>
      <c r="AL6" s="4">
        <f t="shared" si="6"/>
        <v>270</v>
      </c>
      <c r="AM6" s="4">
        <f t="shared" si="6"/>
        <v>280</v>
      </c>
      <c r="AN6" s="4">
        <f t="shared" si="6"/>
        <v>290</v>
      </c>
      <c r="AO6" s="4">
        <f t="shared" si="6"/>
        <v>300</v>
      </c>
      <c r="AP6" s="4">
        <f t="shared" si="6"/>
        <v>310</v>
      </c>
      <c r="AQ6" s="4">
        <f t="shared" si="6"/>
        <v>320</v>
      </c>
      <c r="AR6" s="4">
        <f t="shared" si="6"/>
        <v>330</v>
      </c>
      <c r="AS6" s="4">
        <f t="shared" si="6"/>
        <v>340</v>
      </c>
      <c r="AT6" s="4">
        <f t="shared" si="6"/>
        <v>350</v>
      </c>
      <c r="AU6" s="4">
        <f t="shared" si="6"/>
        <v>360</v>
      </c>
      <c r="AV6" s="4">
        <f t="shared" si="6"/>
        <v>370</v>
      </c>
      <c r="AW6" s="4">
        <f t="shared" si="6"/>
        <v>380</v>
      </c>
      <c r="AX6" s="4">
        <f t="shared" si="6"/>
        <v>390</v>
      </c>
      <c r="AY6" s="4">
        <f t="shared" si="6"/>
        <v>400</v>
      </c>
      <c r="AZ6" s="4">
        <f t="shared" si="6"/>
        <v>410</v>
      </c>
      <c r="BA6" s="4">
        <f t="shared" si="6"/>
        <v>420</v>
      </c>
      <c r="BB6" s="4">
        <f t="shared" si="6"/>
        <v>430</v>
      </c>
      <c r="BC6" s="4">
        <f t="shared" si="6"/>
        <v>440</v>
      </c>
      <c r="BD6" s="4">
        <f t="shared" si="6"/>
        <v>450</v>
      </c>
      <c r="BE6" s="4">
        <f t="shared" si="6"/>
        <v>460</v>
      </c>
      <c r="BF6" s="4"/>
      <c r="BH6" s="44">
        <v>10</v>
      </c>
      <c r="BI6" s="45">
        <v>4</v>
      </c>
      <c r="BJ6" s="45">
        <v>0</v>
      </c>
      <c r="BK6" s="45">
        <v>0</v>
      </c>
      <c r="BL6" s="45">
        <v>4</v>
      </c>
      <c r="BM6" s="45">
        <v>0</v>
      </c>
    </row>
    <row r="7" spans="2:65" ht="16" customHeight="1" x14ac:dyDescent="0.2">
      <c r="B7" s="7" t="str">
        <f t="shared" si="0"/>
        <v>#5</v>
      </c>
      <c r="C7" s="5">
        <v>250</v>
      </c>
      <c r="D7" s="5">
        <v>290</v>
      </c>
      <c r="E7" s="5">
        <v>275</v>
      </c>
      <c r="F7" s="5">
        <v>260</v>
      </c>
      <c r="G7" s="5">
        <v>480</v>
      </c>
      <c r="H7" s="32" t="s">
        <v>5</v>
      </c>
      <c r="I7" s="5">
        <v>250</v>
      </c>
      <c r="J7" s="2"/>
      <c r="L7" s="1" t="str">
        <f>L5&amp;"-"&amp;L6</f>
        <v>0-10</v>
      </c>
      <c r="M7" s="1" t="str">
        <f t="shared" ref="M7:BE7" si="7">M5&amp;"-"&amp;M6</f>
        <v>10-20</v>
      </c>
      <c r="N7" s="1" t="str">
        <f t="shared" si="7"/>
        <v>20-30</v>
      </c>
      <c r="O7" s="1" t="str">
        <f t="shared" si="7"/>
        <v>30-40</v>
      </c>
      <c r="P7" s="1" t="str">
        <f t="shared" si="7"/>
        <v>40-50</v>
      </c>
      <c r="Q7" s="1" t="str">
        <f t="shared" si="7"/>
        <v>50-60</v>
      </c>
      <c r="R7" s="1" t="str">
        <f t="shared" si="7"/>
        <v>60-70</v>
      </c>
      <c r="S7" s="1" t="str">
        <f t="shared" si="7"/>
        <v>70-80</v>
      </c>
      <c r="T7" s="1" t="str">
        <f t="shared" si="7"/>
        <v>80-90</v>
      </c>
      <c r="U7" s="1" t="str">
        <f t="shared" si="7"/>
        <v>90-100</v>
      </c>
      <c r="V7" s="1" t="str">
        <f t="shared" si="7"/>
        <v>100-110</v>
      </c>
      <c r="W7" s="1" t="str">
        <f t="shared" si="7"/>
        <v>110-120</v>
      </c>
      <c r="X7" s="1" t="str">
        <f t="shared" si="7"/>
        <v>120-130</v>
      </c>
      <c r="Y7" s="1" t="str">
        <f t="shared" si="7"/>
        <v>130-140</v>
      </c>
      <c r="Z7" s="1" t="str">
        <f t="shared" si="7"/>
        <v>140-150</v>
      </c>
      <c r="AA7" s="1" t="str">
        <f t="shared" si="7"/>
        <v>150-160</v>
      </c>
      <c r="AB7" s="1" t="str">
        <f t="shared" si="7"/>
        <v>160-170</v>
      </c>
      <c r="AC7" s="1" t="str">
        <f t="shared" si="7"/>
        <v>170-180</v>
      </c>
      <c r="AD7" s="1" t="str">
        <f t="shared" si="7"/>
        <v>180-190</v>
      </c>
      <c r="AE7" s="1" t="str">
        <f t="shared" si="7"/>
        <v>190-200</v>
      </c>
      <c r="AF7" s="1" t="str">
        <f t="shared" si="7"/>
        <v>200-210</v>
      </c>
      <c r="AG7" s="1" t="str">
        <f t="shared" si="7"/>
        <v>210-220</v>
      </c>
      <c r="AH7" s="1" t="str">
        <f t="shared" si="7"/>
        <v>220-230</v>
      </c>
      <c r="AI7" s="1" t="str">
        <f t="shared" si="7"/>
        <v>230-240</v>
      </c>
      <c r="AJ7" s="1" t="str">
        <f t="shared" si="7"/>
        <v>240-250</v>
      </c>
      <c r="AK7" s="1" t="str">
        <f t="shared" si="7"/>
        <v>250-260</v>
      </c>
      <c r="AL7" s="1" t="str">
        <f t="shared" si="7"/>
        <v>260-270</v>
      </c>
      <c r="AM7" s="1" t="str">
        <f t="shared" si="7"/>
        <v>270-280</v>
      </c>
      <c r="AN7" s="1" t="str">
        <f t="shared" si="7"/>
        <v>280-290</v>
      </c>
      <c r="AO7" s="1" t="str">
        <f t="shared" si="7"/>
        <v>290-300</v>
      </c>
      <c r="AP7" s="1" t="str">
        <f t="shared" si="7"/>
        <v>300-310</v>
      </c>
      <c r="AQ7" s="1" t="str">
        <f t="shared" si="7"/>
        <v>310-320</v>
      </c>
      <c r="AR7" s="1" t="str">
        <f t="shared" si="7"/>
        <v>320-330</v>
      </c>
      <c r="AS7" s="1" t="str">
        <f t="shared" si="7"/>
        <v>330-340</v>
      </c>
      <c r="AT7" s="1" t="str">
        <f t="shared" si="7"/>
        <v>340-350</v>
      </c>
      <c r="AU7" s="1" t="str">
        <f t="shared" si="7"/>
        <v>350-360</v>
      </c>
      <c r="AV7" s="1" t="str">
        <f t="shared" si="7"/>
        <v>360-370</v>
      </c>
      <c r="AW7" s="1" t="str">
        <f t="shared" si="7"/>
        <v>370-380</v>
      </c>
      <c r="AX7" s="1" t="str">
        <f t="shared" si="7"/>
        <v>380-390</v>
      </c>
      <c r="AY7" s="1" t="str">
        <f t="shared" si="7"/>
        <v>390-400</v>
      </c>
      <c r="AZ7" s="1" t="str">
        <f t="shared" si="7"/>
        <v>400-410</v>
      </c>
      <c r="BA7" s="1" t="str">
        <f t="shared" si="7"/>
        <v>410-420</v>
      </c>
      <c r="BB7" s="1" t="str">
        <f t="shared" si="7"/>
        <v>420-430</v>
      </c>
      <c r="BC7" s="1" t="str">
        <f t="shared" si="7"/>
        <v>430-440</v>
      </c>
      <c r="BD7" s="1" t="str">
        <f t="shared" si="7"/>
        <v>440-450</v>
      </c>
      <c r="BE7" s="1" t="str">
        <f t="shared" si="7"/>
        <v>450-460</v>
      </c>
      <c r="BH7" s="44">
        <v>20</v>
      </c>
      <c r="BI7" s="45">
        <v>6</v>
      </c>
      <c r="BJ7" s="45">
        <v>1</v>
      </c>
      <c r="BK7" s="45">
        <v>5</v>
      </c>
      <c r="BL7" s="45">
        <v>3</v>
      </c>
      <c r="BM7" s="45">
        <v>0</v>
      </c>
    </row>
    <row r="8" spans="2:65" ht="16" customHeight="1" x14ac:dyDescent="0.2">
      <c r="B8" s="7" t="str">
        <f t="shared" si="0"/>
        <v>#6</v>
      </c>
      <c r="C8" s="5">
        <v>240</v>
      </c>
      <c r="D8" s="5">
        <v>280</v>
      </c>
      <c r="E8" s="5">
        <v>260</v>
      </c>
      <c r="F8" s="5">
        <v>250</v>
      </c>
      <c r="G8" s="5">
        <v>470</v>
      </c>
      <c r="H8" s="32" t="s">
        <v>5</v>
      </c>
      <c r="I8" s="5">
        <v>240</v>
      </c>
      <c r="J8" s="2"/>
      <c r="K8" s="36" t="s">
        <v>5</v>
      </c>
      <c r="L8" s="47">
        <f>COUNTIFS($C$3:$C$117,"&gt;"&amp;L5,$C$3:$C$117,"&lt;="&amp;L6)</f>
        <v>4</v>
      </c>
      <c r="M8" s="47">
        <f>COUNTIFS($C$3:$C$117,"&gt;"&amp;M5,$C$3:$C$117,"&lt;="&amp;M6)</f>
        <v>4</v>
      </c>
      <c r="N8" s="47">
        <f>COUNTIFS($C$3:$C$117,"&gt;"&amp;N5,$C$3:$C$117,"&lt;="&amp;N6)</f>
        <v>6</v>
      </c>
      <c r="O8" s="47">
        <f>COUNTIFS($C$3:$C$117,"&gt;"&amp;O5,$C$3:$C$117,"&lt;="&amp;O6)</f>
        <v>7</v>
      </c>
      <c r="P8" s="47">
        <f>COUNTIFS($C$3:$C$117,"&gt;"&amp;P5,$C$3:$C$117,"&lt;="&amp;P6)</f>
        <v>7</v>
      </c>
      <c r="Q8" s="47">
        <f>COUNTIFS($C$3:$C$117,"&gt;"&amp;Q5,$C$3:$C$117,"&lt;="&amp;Q6)</f>
        <v>7</v>
      </c>
      <c r="R8" s="47">
        <f>COUNTIFS($C$3:$C$117,"&gt;"&amp;R5,$C$3:$C$117,"&lt;="&amp;R6)</f>
        <v>6</v>
      </c>
      <c r="S8" s="47">
        <f>COUNTIFS($C$3:$C$117,"&gt;"&amp;S5,$C$3:$C$117,"&lt;="&amp;S6)</f>
        <v>5</v>
      </c>
      <c r="T8" s="47">
        <f>COUNTIFS($C$3:$C$117,"&gt;"&amp;T5,$C$3:$C$117,"&lt;="&amp;T6)</f>
        <v>4</v>
      </c>
      <c r="U8" s="47">
        <f>COUNTIFS($C$3:$C$117,"&gt;"&amp;U5,$C$3:$C$117,"&lt;="&amp;U6)</f>
        <v>4</v>
      </c>
      <c r="V8" s="47">
        <f>COUNTIFS($C$3:$C$117,"&gt;"&amp;V5,$C$3:$C$117,"&lt;="&amp;V6)</f>
        <v>2</v>
      </c>
      <c r="W8" s="47">
        <f>COUNTIFS($C$3:$C$117,"&gt;"&amp;W5,$C$3:$C$117,"&lt;="&amp;W6)</f>
        <v>4</v>
      </c>
      <c r="X8" s="47">
        <f>COUNTIFS($C$3:$C$117,"&gt;"&amp;X5,$C$3:$C$117,"&lt;="&amp;X6)</f>
        <v>5</v>
      </c>
      <c r="Y8" s="47">
        <f>COUNTIFS($C$3:$C$117,"&gt;"&amp;Y5,$C$3:$C$117,"&lt;="&amp;Y6)</f>
        <v>2</v>
      </c>
      <c r="Z8" s="47">
        <f>COUNTIFS($C$3:$C$117,"&gt;"&amp;Z5,$C$3:$C$117,"&lt;="&amp;Z6)</f>
        <v>4</v>
      </c>
      <c r="AA8" s="47">
        <f>COUNTIFS($C$3:$C$117,"&gt;"&amp;AA5,$C$3:$C$117,"&lt;="&amp;AA6)</f>
        <v>4</v>
      </c>
      <c r="AB8" s="47">
        <f>COUNTIFS($C$3:$C$117,"&gt;"&amp;AB5,$C$3:$C$117,"&lt;="&amp;AB6)</f>
        <v>2</v>
      </c>
      <c r="AC8" s="47">
        <f>COUNTIFS($C$3:$C$117,"&gt;"&amp;AC5,$C$3:$C$117,"&lt;="&amp;AC6)</f>
        <v>4</v>
      </c>
      <c r="AD8" s="47">
        <f>COUNTIFS($C$3:$C$117,"&gt;"&amp;AD5,$C$3:$C$117,"&lt;="&amp;AD6)</f>
        <v>3</v>
      </c>
      <c r="AE8" s="47">
        <f>COUNTIFS($C$3:$C$117,"&gt;"&amp;AE5,$C$3:$C$117,"&lt;="&amp;AE6)</f>
        <v>6</v>
      </c>
      <c r="AF8" s="47">
        <f>COUNTIFS($C$3:$C$117,"&gt;"&amp;AF5,$C$3:$C$117,"&lt;="&amp;AF6)</f>
        <v>2</v>
      </c>
      <c r="AG8" s="47">
        <f>COUNTIFS($C$3:$C$117,"&gt;"&amp;AG5,$C$3:$C$117,"&lt;="&amp;AG6)</f>
        <v>4</v>
      </c>
      <c r="AH8" s="47">
        <f>COUNTIFS($C$3:$C$117,"&gt;"&amp;AH5,$C$3:$C$117,"&lt;="&amp;AH6)</f>
        <v>2</v>
      </c>
      <c r="AI8" s="47">
        <f>COUNTIFS($C$3:$C$117,"&gt;"&amp;AI5,$C$3:$C$117,"&lt;="&amp;AI6)</f>
        <v>1</v>
      </c>
      <c r="AJ8" s="47">
        <f>COUNTIFS($C$3:$C$117,"&gt;"&amp;AJ5,$C$3:$C$117,"&lt;="&amp;AJ6)</f>
        <v>3</v>
      </c>
      <c r="AK8" s="47">
        <f>COUNTIFS($C$3:$C$117,"&gt;"&amp;AK5,$C$3:$C$117,"&lt;="&amp;AK6)</f>
        <v>1</v>
      </c>
      <c r="AL8" s="47">
        <f>COUNTIFS($C$3:$C$117,"&gt;"&amp;AL5,$C$3:$C$117,"&lt;="&amp;AL6)</f>
        <v>3</v>
      </c>
      <c r="AM8" s="47">
        <f>COUNTIFS($C$3:$C$117,"&gt;"&amp;AM5,$C$3:$C$117,"&lt;="&amp;AM6)</f>
        <v>1</v>
      </c>
      <c r="AN8" s="47">
        <f>COUNTIFS($C$3:$C$117,"&gt;"&amp;AN5,$C$3:$C$117,"&lt;="&amp;AN6)</f>
        <v>3</v>
      </c>
      <c r="AO8" s="47">
        <f>COUNTIFS($C$3:$C$117,"&gt;"&amp;AO5,$C$3:$C$117,"&lt;="&amp;AO6)</f>
        <v>2</v>
      </c>
      <c r="AP8" s="47">
        <f>COUNTIFS($C$3:$C$117,"&gt;"&amp;AP5,$C$3:$C$117,"&lt;="&amp;AP6)</f>
        <v>1</v>
      </c>
      <c r="AQ8" s="47">
        <f>COUNTIFS($C$3:$C$117,"&gt;"&amp;AQ5,$C$3:$C$117,"&lt;="&amp;AQ6)</f>
        <v>1</v>
      </c>
      <c r="AR8" s="47">
        <f>COUNTIFS($C$3:$C$117,"&gt;"&amp;AR5,$C$3:$C$117,"&lt;="&amp;AR6)</f>
        <v>0</v>
      </c>
      <c r="AS8" s="47">
        <f>COUNTIFS($C$3:$C$117,"&gt;"&amp;AS5,$C$3:$C$117,"&lt;="&amp;AS6)</f>
        <v>0</v>
      </c>
      <c r="AT8" s="47">
        <f>COUNTIFS($C$3:$C$117,"&gt;"&amp;AT5,$C$3:$C$117,"&lt;="&amp;AT6)</f>
        <v>0</v>
      </c>
      <c r="AU8" s="47">
        <f>COUNTIFS($C$3:$C$117,"&gt;"&amp;AU5,$C$3:$C$117,"&lt;="&amp;AU6)</f>
        <v>0</v>
      </c>
      <c r="AV8" s="47">
        <f>COUNTIFS($C$3:$C$117,"&gt;"&amp;AV5,$C$3:$C$117,"&lt;="&amp;AV6)</f>
        <v>0</v>
      </c>
      <c r="AW8" s="47">
        <f>COUNTIFS($C$3:$C$117,"&gt;"&amp;AW5,$C$3:$C$117,"&lt;="&amp;AW6)</f>
        <v>0</v>
      </c>
      <c r="AX8" s="47">
        <f>COUNTIFS($C$3:$C$117,"&gt;"&amp;AX5,$C$3:$C$117,"&lt;="&amp;AX6)</f>
        <v>0</v>
      </c>
      <c r="AY8" s="47">
        <f>COUNTIFS($C$3:$C$117,"&gt;"&amp;AY5,$C$3:$C$117,"&lt;="&amp;AY6)</f>
        <v>0</v>
      </c>
      <c r="AZ8" s="47">
        <f>COUNTIFS($C$3:$C$117,"&gt;"&amp;AZ5,$C$3:$C$117,"&lt;="&amp;AZ6)</f>
        <v>0</v>
      </c>
      <c r="BA8" s="47">
        <f>COUNTIFS($C$3:$C$117,"&gt;"&amp;BA5,$C$3:$C$117,"&lt;="&amp;BA6)</f>
        <v>0</v>
      </c>
      <c r="BB8" s="47">
        <f>COUNTIFS($C$3:$C$117,"&gt;"&amp;BB5,$C$3:$C$117,"&lt;="&amp;BB6)</f>
        <v>0</v>
      </c>
      <c r="BC8" s="47">
        <f>COUNTIFS($C$3:$C$117,"&gt;"&amp;BC5,$C$3:$C$117,"&lt;="&amp;BC6)</f>
        <v>0</v>
      </c>
      <c r="BD8" s="47">
        <f>COUNTIFS($C$3:$C$117,"&gt;"&amp;BD5,$C$3:$C$117,"&lt;="&amp;BD6)</f>
        <v>0</v>
      </c>
      <c r="BE8" s="47">
        <f>COUNTIFS($C$3:$C$117,"&gt;"&amp;BE5,$C$3:$C$117,"&lt;="&amp;BE6)</f>
        <v>0</v>
      </c>
      <c r="BH8" s="44">
        <v>30</v>
      </c>
      <c r="BI8" s="45">
        <v>7</v>
      </c>
      <c r="BJ8" s="45">
        <v>1</v>
      </c>
      <c r="BK8" s="45">
        <v>7</v>
      </c>
      <c r="BL8" s="45">
        <v>6</v>
      </c>
      <c r="BM8" s="45">
        <v>0</v>
      </c>
    </row>
    <row r="9" spans="2:65" ht="16" customHeight="1" x14ac:dyDescent="0.2">
      <c r="B9" s="7" t="str">
        <f t="shared" si="0"/>
        <v>#7</v>
      </c>
      <c r="C9" s="5">
        <v>230</v>
      </c>
      <c r="D9" s="5">
        <v>270</v>
      </c>
      <c r="E9" s="5">
        <v>250</v>
      </c>
      <c r="F9" s="5">
        <v>240</v>
      </c>
      <c r="G9" s="5">
        <v>460</v>
      </c>
      <c r="H9" s="32" t="s">
        <v>5</v>
      </c>
      <c r="I9" s="5">
        <v>230</v>
      </c>
      <c r="J9" s="2"/>
      <c r="K9" s="36" t="s">
        <v>6</v>
      </c>
      <c r="L9" s="47">
        <f>COUNTIFS($D$3:$D$117,"&gt;"&amp;L5,$D$3:$D$117,"&lt;="&amp;L6)</f>
        <v>0</v>
      </c>
      <c r="M9" s="47">
        <f>COUNTIFS($D$3:$D$117,"&gt;"&amp;M5,$D$3:$D$117,"&lt;="&amp;M6)</f>
        <v>0</v>
      </c>
      <c r="N9" s="47">
        <f>COUNTIFS($D$3:$D$117,"&gt;"&amp;N5,$D$3:$D$117,"&lt;="&amp;N6)</f>
        <v>1</v>
      </c>
      <c r="O9" s="47">
        <f>COUNTIFS($D$3:$D$117,"&gt;"&amp;O5,$D$3:$D$117,"&lt;="&amp;O6)</f>
        <v>1</v>
      </c>
      <c r="P9" s="47">
        <f>COUNTIFS($D$3:$D$117,"&gt;"&amp;P5,$D$3:$D$117,"&lt;="&amp;P6)</f>
        <v>3</v>
      </c>
      <c r="Q9" s="47">
        <f>COUNTIFS($D$3:$D$117,"&gt;"&amp;Q5,$D$3:$D$117,"&lt;="&amp;Q6)</f>
        <v>2</v>
      </c>
      <c r="R9" s="47">
        <f>COUNTIFS($D$3:$D$117,"&gt;"&amp;R5,$D$3:$D$117,"&lt;="&amp;R6)</f>
        <v>6</v>
      </c>
      <c r="S9" s="47">
        <f>COUNTIFS($D$3:$D$117,"&gt;"&amp;S5,$D$3:$D$117,"&lt;="&amp;S6)</f>
        <v>6</v>
      </c>
      <c r="T9" s="47">
        <f>COUNTIFS($D$3:$D$117,"&gt;"&amp;T5,$D$3:$D$117,"&lt;="&amp;T6)</f>
        <v>5</v>
      </c>
      <c r="U9" s="47">
        <f>COUNTIFS($D$3:$D$117,"&gt;"&amp;U5,$D$3:$D$117,"&lt;="&amp;U6)</f>
        <v>7</v>
      </c>
      <c r="V9" s="47">
        <f>COUNTIFS($D$3:$D$117,"&gt;"&amp;V5,$D$3:$D$117,"&lt;="&amp;V6)</f>
        <v>4</v>
      </c>
      <c r="W9" s="47">
        <f>COUNTIFS($D$3:$D$117,"&gt;"&amp;W5,$D$3:$D$117,"&lt;="&amp;W6)</f>
        <v>5</v>
      </c>
      <c r="X9" s="47">
        <f>COUNTIFS($D$3:$D$117,"&gt;"&amp;X5,$D$3:$D$117,"&lt;="&amp;X6)</f>
        <v>8</v>
      </c>
      <c r="Y9" s="47">
        <f>COUNTIFS($D$3:$D$117,"&gt;"&amp;Y5,$D$3:$D$117,"&lt;="&amp;Y6)</f>
        <v>7</v>
      </c>
      <c r="Z9" s="47">
        <f>COUNTIFS($D$3:$D$117,"&gt;"&amp;Z5,$D$3:$D$117,"&lt;="&amp;Z6)</f>
        <v>7</v>
      </c>
      <c r="AA9" s="47">
        <f>COUNTIFS($D$3:$D$117,"&gt;"&amp;AA5,$D$3:$D$117,"&lt;="&amp;AA6)</f>
        <v>2</v>
      </c>
      <c r="AB9" s="47">
        <f>COUNTIFS($D$3:$D$117,"&gt;"&amp;AB5,$D$3:$D$117,"&lt;="&amp;AB6)</f>
        <v>3</v>
      </c>
      <c r="AC9" s="47">
        <f>COUNTIFS($D$3:$D$117,"&gt;"&amp;AC5,$D$3:$D$117,"&lt;="&amp;AC6)</f>
        <v>2</v>
      </c>
      <c r="AD9" s="47">
        <f>COUNTIFS($D$3:$D$117,"&gt;"&amp;AD5,$D$3:$D$117,"&lt;="&amp;AD6)</f>
        <v>4</v>
      </c>
      <c r="AE9" s="47">
        <f>COUNTIFS($D$3:$D$117,"&gt;"&amp;AE5,$D$3:$D$117,"&lt;="&amp;AE6)</f>
        <v>2</v>
      </c>
      <c r="AF9" s="47">
        <f>COUNTIFS($D$3:$D$117,"&gt;"&amp;AF5,$D$3:$D$117,"&lt;="&amp;AF6)</f>
        <v>2</v>
      </c>
      <c r="AG9" s="47">
        <f>COUNTIFS($D$3:$D$117,"&gt;"&amp;AG5,$D$3:$D$117,"&lt;="&amp;AG6)</f>
        <v>4</v>
      </c>
      <c r="AH9" s="47">
        <f>COUNTIFS($D$3:$D$117,"&gt;"&amp;AH5,$D$3:$D$117,"&lt;="&amp;AH6)</f>
        <v>6</v>
      </c>
      <c r="AI9" s="47">
        <f>COUNTIFS($D$3:$D$117,"&gt;"&amp;AI5,$D$3:$D$117,"&lt;="&amp;AI6)</f>
        <v>4</v>
      </c>
      <c r="AJ9" s="47">
        <f>COUNTIFS($D$3:$D$117,"&gt;"&amp;AJ5,$D$3:$D$117,"&lt;="&amp;AJ6)</f>
        <v>5</v>
      </c>
      <c r="AK9" s="47">
        <f>COUNTIFS($D$3:$D$117,"&gt;"&amp;AK5,$D$3:$D$117,"&lt;="&amp;AK6)</f>
        <v>1</v>
      </c>
      <c r="AL9" s="47">
        <f>COUNTIFS($D$3:$D$117,"&gt;"&amp;AL5,$D$3:$D$117,"&lt;="&amp;AL6)</f>
        <v>3</v>
      </c>
      <c r="AM9" s="47">
        <f>COUNTIFS($D$3:$D$117,"&gt;"&amp;AM5,$D$3:$D$117,"&lt;="&amp;AM6)</f>
        <v>1</v>
      </c>
      <c r="AN9" s="47">
        <f>COUNTIFS($D$3:$D$117,"&gt;"&amp;AN5,$D$3:$D$117,"&lt;="&amp;AN6)</f>
        <v>4</v>
      </c>
      <c r="AO9" s="47">
        <f>COUNTIFS($D$3:$D$117,"&gt;"&amp;AO5,$D$3:$D$117,"&lt;="&amp;AO6)</f>
        <v>3</v>
      </c>
      <c r="AP9" s="47">
        <f>COUNTIFS($D$3:$D$117,"&gt;"&amp;AP5,$D$3:$D$117,"&lt;="&amp;AP6)</f>
        <v>3</v>
      </c>
      <c r="AQ9" s="47">
        <f>COUNTIFS($D$3:$D$117,"&gt;"&amp;AQ5,$D$3:$D$117,"&lt;="&amp;AQ6)</f>
        <v>2</v>
      </c>
      <c r="AR9" s="47">
        <f>COUNTIFS($D$3:$D$117,"&gt;"&amp;AR5,$D$3:$D$117,"&lt;="&amp;AR6)</f>
        <v>1</v>
      </c>
      <c r="AS9" s="47">
        <f>COUNTIFS($D$3:$D$117,"&gt;"&amp;AS5,$D$3:$D$117,"&lt;="&amp;AS6)</f>
        <v>1</v>
      </c>
      <c r="AT9" s="47">
        <f>COUNTIFS($D$3:$D$117,"&gt;"&amp;AT5,$D$3:$D$117,"&lt;="&amp;AT6)</f>
        <v>0</v>
      </c>
      <c r="AU9" s="47">
        <f>COUNTIFS($D$3:$D$117,"&gt;"&amp;AU5,$D$3:$D$117,"&lt;="&amp;AU6)</f>
        <v>0</v>
      </c>
      <c r="AV9" s="47">
        <f>COUNTIFS($D$3:$D$117,"&gt;"&amp;AV5,$D$3:$D$117,"&lt;="&amp;AV6)</f>
        <v>0</v>
      </c>
      <c r="AW9" s="47">
        <f>COUNTIFS($D$3:$D$117,"&gt;"&amp;AW5,$D$3:$D$117,"&lt;="&amp;AW6)</f>
        <v>0</v>
      </c>
      <c r="AX9" s="47">
        <f>COUNTIFS($D$3:$D$117,"&gt;"&amp;AX5,$D$3:$D$117,"&lt;="&amp;AX6)</f>
        <v>0</v>
      </c>
      <c r="AY9" s="47">
        <f>COUNTIFS($D$3:$D$117,"&gt;"&amp;AY5,$D$3:$D$117,"&lt;="&amp;AY6)</f>
        <v>0</v>
      </c>
      <c r="AZ9" s="47">
        <f>COUNTIFS($D$3:$D$117,"&gt;"&amp;AZ5,$D$3:$D$117,"&lt;="&amp;AZ6)</f>
        <v>0</v>
      </c>
      <c r="BA9" s="47">
        <f>COUNTIFS($D$3:$D$117,"&gt;"&amp;BA5,$D$3:$D$117,"&lt;="&amp;BA6)</f>
        <v>0</v>
      </c>
      <c r="BB9" s="47">
        <f>COUNTIFS($D$3:$D$117,"&gt;"&amp;BB5,$D$3:$D$117,"&lt;="&amp;BB6)</f>
        <v>0</v>
      </c>
      <c r="BC9" s="47">
        <f>COUNTIFS($D$3:$D$117,"&gt;"&amp;BC5,$D$3:$D$117,"&lt;="&amp;BC6)</f>
        <v>0</v>
      </c>
      <c r="BD9" s="47">
        <f>COUNTIFS($D$3:$D$117,"&gt;"&amp;BD5,$D$3:$D$117,"&lt;="&amp;BD6)</f>
        <v>0</v>
      </c>
      <c r="BE9" s="47">
        <f>COUNTIFS($D$3:$D$117,"&gt;"&amp;BE5,$D$3:$D$117,"&lt;="&amp;BE6)</f>
        <v>0</v>
      </c>
      <c r="BH9" s="44">
        <v>40</v>
      </c>
      <c r="BI9" s="45">
        <v>7</v>
      </c>
      <c r="BJ9" s="45">
        <v>3</v>
      </c>
      <c r="BK9" s="45">
        <v>5</v>
      </c>
      <c r="BL9" s="45">
        <v>4</v>
      </c>
      <c r="BM9" s="45">
        <v>0</v>
      </c>
    </row>
    <row r="10" spans="2:65" ht="16" customHeight="1" x14ac:dyDescent="0.2">
      <c r="B10" s="7" t="str">
        <f t="shared" si="0"/>
        <v>#8</v>
      </c>
      <c r="C10" s="5">
        <v>220</v>
      </c>
      <c r="D10" s="5">
        <v>260</v>
      </c>
      <c r="E10" s="5">
        <v>245</v>
      </c>
      <c r="F10" s="5">
        <v>230</v>
      </c>
      <c r="G10" s="5">
        <v>450</v>
      </c>
      <c r="H10" s="32" t="s">
        <v>5</v>
      </c>
      <c r="I10" s="5">
        <v>220</v>
      </c>
      <c r="J10" s="2"/>
      <c r="K10" s="36" t="s">
        <v>4</v>
      </c>
      <c r="L10" s="47">
        <f>COUNTIFS($E$3:$E$117,"&gt;"&amp;L5,$E$3:$E$117,"&lt;="&amp;L6)</f>
        <v>0</v>
      </c>
      <c r="M10" s="47">
        <f>COUNTIFS($E$3:$E$117,"&gt;"&amp;M5,$E$3:$E$117,"&lt;="&amp;M6)</f>
        <v>0</v>
      </c>
      <c r="N10" s="47">
        <f>COUNTIFS($E$3:$E$117,"&gt;"&amp;N5,$E$3:$E$117,"&lt;="&amp;N6)</f>
        <v>5</v>
      </c>
      <c r="O10" s="47">
        <f>COUNTIFS($E$3:$E$117,"&gt;"&amp;O5,$E$3:$E$117,"&lt;="&amp;O6)</f>
        <v>7</v>
      </c>
      <c r="P10" s="47">
        <f>COUNTIFS($E$3:$E$117,"&gt;"&amp;P5,$E$3:$E$117,"&lt;="&amp;P6)</f>
        <v>6</v>
      </c>
      <c r="Q10" s="47">
        <f>COUNTIFS($E$3:$E$117,"&gt;"&amp;Q5,$E$3:$E$117,"&lt;="&amp;Q6)</f>
        <v>4</v>
      </c>
      <c r="R10" s="47">
        <f>COUNTIFS($E$3:$E$117,"&gt;"&amp;R5,$E$3:$E$117,"&lt;="&amp;R6)</f>
        <v>9</v>
      </c>
      <c r="S10" s="47">
        <f>COUNTIFS($E$3:$E$117,"&gt;"&amp;S5,$E$3:$E$117,"&lt;="&amp;S6)</f>
        <v>1</v>
      </c>
      <c r="T10" s="47">
        <f>COUNTIFS($E$3:$E$117,"&gt;"&amp;T5,$E$3:$E$117,"&lt;="&amp;T6)</f>
        <v>4</v>
      </c>
      <c r="U10" s="47">
        <f>COUNTIFS($E$3:$E$117,"&gt;"&amp;U5,$E$3:$E$117,"&lt;="&amp;U6)</f>
        <v>4</v>
      </c>
      <c r="V10" s="47">
        <f>COUNTIFS($E$3:$E$117,"&gt;"&amp;V5,$E$3:$E$117,"&lt;="&amp;V6)</f>
        <v>6</v>
      </c>
      <c r="W10" s="47">
        <f>COUNTIFS($E$3:$E$117,"&gt;"&amp;W5,$E$3:$E$117,"&lt;="&amp;W6)</f>
        <v>6</v>
      </c>
      <c r="X10" s="47">
        <f>COUNTIFS($E$3:$E$117,"&gt;"&amp;X5,$E$3:$E$117,"&lt;="&amp;X6)</f>
        <v>5</v>
      </c>
      <c r="Y10" s="47">
        <f>COUNTIFS($E$3:$E$117,"&gt;"&amp;Y5,$E$3:$E$117,"&lt;="&amp;Y6)</f>
        <v>2</v>
      </c>
      <c r="Z10" s="47">
        <f>COUNTIFS($E$3:$E$117,"&gt;"&amp;Z5,$E$3:$E$117,"&lt;="&amp;Z6)</f>
        <v>4</v>
      </c>
      <c r="AA10" s="47">
        <f>COUNTIFS($E$3:$E$117,"&gt;"&amp;AA5,$E$3:$E$117,"&lt;="&amp;AA6)</f>
        <v>5</v>
      </c>
      <c r="AB10" s="47">
        <f>COUNTIFS($E$3:$E$117,"&gt;"&amp;AB5,$E$3:$E$117,"&lt;="&amp;AB6)</f>
        <v>1</v>
      </c>
      <c r="AC10" s="47">
        <f>COUNTIFS($E$3:$E$117,"&gt;"&amp;AC5,$E$3:$E$117,"&lt;="&amp;AC6)</f>
        <v>3</v>
      </c>
      <c r="AD10" s="47">
        <f>COUNTIFS($E$3:$E$117,"&gt;"&amp;AD5,$E$3:$E$117,"&lt;="&amp;AD6)</f>
        <v>4</v>
      </c>
      <c r="AE10" s="47">
        <f>COUNTIFS($E$3:$E$117,"&gt;"&amp;AE5,$E$3:$E$117,"&lt;="&amp;AE6)</f>
        <v>2</v>
      </c>
      <c r="AF10" s="47">
        <f>COUNTIFS($E$3:$E$117,"&gt;"&amp;AF5,$E$3:$E$117,"&lt;="&amp;AF6)</f>
        <v>3</v>
      </c>
      <c r="AG10" s="47">
        <f>COUNTIFS($E$3:$E$117,"&gt;"&amp;AG5,$E$3:$E$117,"&lt;="&amp;AG6)</f>
        <v>4</v>
      </c>
      <c r="AH10" s="47">
        <f>COUNTIFS($E$3:$E$117,"&gt;"&amp;AH5,$E$3:$E$117,"&lt;="&amp;AH6)</f>
        <v>3</v>
      </c>
      <c r="AI10" s="47">
        <f>COUNTIFS($E$3:$E$117,"&gt;"&amp;AI5,$E$3:$E$117,"&lt;="&amp;AI6)</f>
        <v>4</v>
      </c>
      <c r="AJ10" s="47">
        <f>COUNTIFS($E$3:$E$117,"&gt;"&amp;AJ5,$E$3:$E$117,"&lt;="&amp;AJ6)</f>
        <v>5</v>
      </c>
      <c r="AK10" s="47">
        <f>COUNTIFS($E$3:$E$117,"&gt;"&amp;AK5,$E$3:$E$117,"&lt;="&amp;AK6)</f>
        <v>2</v>
      </c>
      <c r="AL10" s="47">
        <f>COUNTIFS($E$3:$E$117,"&gt;"&amp;AL5,$E$3:$E$117,"&lt;="&amp;AL6)</f>
        <v>2</v>
      </c>
      <c r="AM10" s="47">
        <f>COUNTIFS($E$3:$E$117,"&gt;"&amp;AM5,$E$3:$E$117,"&lt;="&amp;AM6)</f>
        <v>4</v>
      </c>
      <c r="AN10" s="47">
        <f>COUNTIFS($E$3:$E$117,"&gt;"&amp;AN5,$E$3:$E$117,"&lt;="&amp;AN6)</f>
        <v>2</v>
      </c>
      <c r="AO10" s="47">
        <f>COUNTIFS($E$3:$E$117,"&gt;"&amp;AO5,$E$3:$E$117,"&lt;="&amp;AO6)</f>
        <v>2</v>
      </c>
      <c r="AP10" s="47">
        <f>COUNTIFS($E$3:$E$117,"&gt;"&amp;AP5,$E$3:$E$117,"&lt;="&amp;AP6)</f>
        <v>4</v>
      </c>
      <c r="AQ10" s="47">
        <f>COUNTIFS($E$3:$E$117,"&gt;"&amp;AQ5,$E$3:$E$117,"&lt;="&amp;AQ6)</f>
        <v>2</v>
      </c>
      <c r="AR10" s="47">
        <f>COUNTIFS($E$3:$E$117,"&gt;"&amp;AR5,$E$3:$E$117,"&lt;="&amp;AR6)</f>
        <v>0</v>
      </c>
      <c r="AS10" s="47">
        <f>COUNTIFS($E$3:$E$117,"&gt;"&amp;AS5,$E$3:$E$117,"&lt;="&amp;AS6)</f>
        <v>0</v>
      </c>
      <c r="AT10" s="47">
        <f>COUNTIFS($E$3:$E$117,"&gt;"&amp;AT5,$E$3:$E$117,"&lt;="&amp;AT6)</f>
        <v>0</v>
      </c>
      <c r="AU10" s="47">
        <f>COUNTIFS($E$3:$E$117,"&gt;"&amp;AU5,$E$3:$E$117,"&lt;="&amp;AU6)</f>
        <v>0</v>
      </c>
      <c r="AV10" s="47">
        <f>COUNTIFS($E$3:$E$117,"&gt;"&amp;AV5,$E$3:$E$117,"&lt;="&amp;AV6)</f>
        <v>0</v>
      </c>
      <c r="AW10" s="47">
        <f>COUNTIFS($E$3:$E$117,"&gt;"&amp;AW5,$E$3:$E$117,"&lt;="&amp;AW6)</f>
        <v>0</v>
      </c>
      <c r="AX10" s="47">
        <f>COUNTIFS($E$3:$E$117,"&gt;"&amp;AX5,$E$3:$E$117,"&lt;="&amp;AX6)</f>
        <v>0</v>
      </c>
      <c r="AY10" s="47">
        <f>COUNTIFS($E$3:$E$117,"&gt;"&amp;AY5,$E$3:$E$117,"&lt;="&amp;AY6)</f>
        <v>0</v>
      </c>
      <c r="AZ10" s="47">
        <f>COUNTIFS($E$3:$E$117,"&gt;"&amp;AZ5,$E$3:$E$117,"&lt;="&amp;AZ6)</f>
        <v>0</v>
      </c>
      <c r="BA10" s="47">
        <f>COUNTIFS($E$3:$E$117,"&gt;"&amp;BA5,$E$3:$E$117,"&lt;="&amp;BA6)</f>
        <v>0</v>
      </c>
      <c r="BB10" s="47">
        <f>COUNTIFS($E$3:$E$117,"&gt;"&amp;BB5,$E$3:$E$117,"&lt;="&amp;BB6)</f>
        <v>0</v>
      </c>
      <c r="BC10" s="47">
        <f>COUNTIFS($E$3:$E$117,"&gt;"&amp;BC5,$E$3:$E$117,"&lt;="&amp;BC6)</f>
        <v>0</v>
      </c>
      <c r="BD10" s="47">
        <f>COUNTIFS($E$3:$E$117,"&gt;"&amp;BD5,$E$3:$E$117,"&lt;="&amp;BD6)</f>
        <v>0</v>
      </c>
      <c r="BE10" s="47">
        <f>COUNTIFS($E$3:$E$117,"&gt;"&amp;BE5,$E$3:$E$117,"&lt;="&amp;BE6)</f>
        <v>0</v>
      </c>
      <c r="BH10" s="44">
        <v>50</v>
      </c>
      <c r="BI10" s="45">
        <v>7</v>
      </c>
      <c r="BJ10" s="45">
        <v>2</v>
      </c>
      <c r="BK10" s="45">
        <v>3</v>
      </c>
      <c r="BL10" s="45">
        <v>5</v>
      </c>
      <c r="BM10" s="45">
        <v>0</v>
      </c>
    </row>
    <row r="11" spans="2:65" ht="16" customHeight="1" x14ac:dyDescent="0.2">
      <c r="B11" s="7" t="str">
        <f t="shared" si="0"/>
        <v>#9</v>
      </c>
      <c r="C11" s="5">
        <v>210</v>
      </c>
      <c r="D11" s="5">
        <v>250</v>
      </c>
      <c r="E11" s="5">
        <v>235</v>
      </c>
      <c r="F11" s="5">
        <v>220</v>
      </c>
      <c r="G11" s="5">
        <v>440</v>
      </c>
      <c r="H11" s="32" t="s">
        <v>5</v>
      </c>
      <c r="I11" s="5">
        <v>210</v>
      </c>
      <c r="J11" s="2"/>
      <c r="K11" s="36" t="s">
        <v>7</v>
      </c>
      <c r="L11" s="47">
        <f>COUNTIFS($F$3:$F$117,"&gt;"&amp;L5,$F$3:$F$117,"&lt;="&amp;L6)</f>
        <v>1</v>
      </c>
      <c r="M11" s="47">
        <f>COUNTIFS($F$3:$F$117,"&gt;"&amp;M5,$F$3:$F$117,"&lt;="&amp;M6)</f>
        <v>4</v>
      </c>
      <c r="N11" s="47">
        <f>COUNTIFS($F$3:$F$117,"&gt;"&amp;N5,$F$3:$F$117,"&lt;="&amp;N6)</f>
        <v>3</v>
      </c>
      <c r="O11" s="47">
        <f>COUNTIFS($F$3:$F$117,"&gt;"&amp;O5,$F$3:$F$117,"&lt;="&amp;O6)</f>
        <v>6</v>
      </c>
      <c r="P11" s="47">
        <f>COUNTIFS($F$3:$F$117,"&gt;"&amp;P5,$F$3:$F$117,"&lt;="&amp;P6)</f>
        <v>4</v>
      </c>
      <c r="Q11" s="47">
        <f>COUNTIFS($F$3:$F$117,"&gt;"&amp;Q5,$F$3:$F$117,"&lt;="&amp;Q6)</f>
        <v>5</v>
      </c>
      <c r="R11" s="47">
        <f>COUNTIFS($F$3:$F$117,"&gt;"&amp;R5,$F$3:$F$117,"&lt;="&amp;R6)</f>
        <v>7</v>
      </c>
      <c r="S11" s="47">
        <f>COUNTIFS($F$3:$F$117,"&gt;"&amp;S5,$F$3:$F$117,"&lt;="&amp;S6)</f>
        <v>8</v>
      </c>
      <c r="T11" s="47">
        <f>COUNTIFS($F$3:$F$117,"&gt;"&amp;T5,$F$3:$F$117,"&lt;="&amp;T6)</f>
        <v>9</v>
      </c>
      <c r="U11" s="47">
        <f>COUNTIFS($F$3:$F$117,"&gt;"&amp;U5,$F$3:$F$117,"&lt;="&amp;U6)</f>
        <v>4</v>
      </c>
      <c r="V11" s="47">
        <f>COUNTIFS($F$3:$F$117,"&gt;"&amp;V5,$F$3:$F$117,"&lt;="&amp;V6)</f>
        <v>5</v>
      </c>
      <c r="W11" s="47">
        <f>COUNTIFS($F$3:$F$117,"&gt;"&amp;W5,$F$3:$F$117,"&lt;="&amp;W6)</f>
        <v>4</v>
      </c>
      <c r="X11" s="47">
        <f>COUNTIFS($F$3:$F$117,"&gt;"&amp;X5,$F$3:$F$117,"&lt;="&amp;X6)</f>
        <v>1</v>
      </c>
      <c r="Y11" s="47">
        <f>COUNTIFS($F$3:$F$117,"&gt;"&amp;Y5,$F$3:$F$117,"&lt;="&amp;Y6)</f>
        <v>3</v>
      </c>
      <c r="Z11" s="47">
        <f>COUNTIFS($F$3:$F$117,"&gt;"&amp;Z5,$F$3:$F$117,"&lt;="&amp;Z6)</f>
        <v>3</v>
      </c>
      <c r="AA11" s="47">
        <f>COUNTIFS($F$3:$F$117,"&gt;"&amp;AA5,$F$3:$F$117,"&lt;="&amp;AA6)</f>
        <v>2</v>
      </c>
      <c r="AB11" s="47">
        <f>COUNTIFS($F$3:$F$117,"&gt;"&amp;AB5,$F$3:$F$117,"&lt;="&amp;AB6)</f>
        <v>2</v>
      </c>
      <c r="AC11" s="47">
        <f>COUNTIFS($F$3:$F$117,"&gt;"&amp;AC5,$F$3:$F$117,"&lt;="&amp;AC6)</f>
        <v>3</v>
      </c>
      <c r="AD11" s="47">
        <f>COUNTIFS($F$3:$F$117,"&gt;"&amp;AD5,$F$3:$F$117,"&lt;="&amp;AD6)</f>
        <v>1</v>
      </c>
      <c r="AE11" s="47">
        <f>COUNTIFS($F$3:$F$117,"&gt;"&amp;AE5,$F$3:$F$117,"&lt;="&amp;AE6)</f>
        <v>6</v>
      </c>
      <c r="AF11" s="47">
        <f>COUNTIFS($F$3:$F$117,"&gt;"&amp;AF5,$F$3:$F$117,"&lt;="&amp;AF6)</f>
        <v>8</v>
      </c>
      <c r="AG11" s="47">
        <f>COUNTIFS($F$3:$F$117,"&gt;"&amp;AG5,$F$3:$F$117,"&lt;="&amp;AG6)</f>
        <v>3</v>
      </c>
      <c r="AH11" s="47">
        <f>COUNTIFS($F$3:$F$117,"&gt;"&amp;AH5,$F$3:$F$117,"&lt;="&amp;AH6)</f>
        <v>7</v>
      </c>
      <c r="AI11" s="47">
        <f>COUNTIFS($F$3:$F$117,"&gt;"&amp;AI5,$F$3:$F$117,"&lt;="&amp;AI6)</f>
        <v>7</v>
      </c>
      <c r="AJ11" s="47">
        <f>COUNTIFS($F$3:$F$117,"&gt;"&amp;AJ5,$F$3:$F$117,"&lt;="&amp;AJ6)</f>
        <v>3</v>
      </c>
      <c r="AK11" s="47">
        <f>COUNTIFS($F$3:$F$117,"&gt;"&amp;AK5,$F$3:$F$117,"&lt;="&amp;AK6)</f>
        <v>5</v>
      </c>
      <c r="AL11" s="47">
        <f>COUNTIFS($F$3:$F$117,"&gt;"&amp;AL5,$F$3:$F$117,"&lt;="&amp;AL6)</f>
        <v>1</v>
      </c>
      <c r="AM11" s="47">
        <f>COUNTIFS($F$3:$F$117,"&gt;"&amp;AM5,$F$3:$F$117,"&lt;="&amp;AM6)</f>
        <v>0</v>
      </c>
      <c r="AN11" s="47">
        <f>COUNTIFS($F$3:$F$117,"&gt;"&amp;AN5,$F$3:$F$117,"&lt;="&amp;AN6)</f>
        <v>0</v>
      </c>
      <c r="AO11" s="47">
        <f>COUNTIFS($F$3:$F$117,"&gt;"&amp;AO5,$F$3:$F$117,"&lt;="&amp;AO6)</f>
        <v>0</v>
      </c>
      <c r="AP11" s="47">
        <f>COUNTIFS($F$3:$F$117,"&gt;"&amp;AP5,$F$3:$F$117,"&lt;="&amp;AP6)</f>
        <v>0</v>
      </c>
      <c r="AQ11" s="47">
        <f>COUNTIFS($F$3:$F$117,"&gt;"&amp;AQ5,$F$3:$F$117,"&lt;="&amp;AQ6)</f>
        <v>0</v>
      </c>
      <c r="AR11" s="47">
        <f>COUNTIFS($F$3:$F$117,"&gt;"&amp;AR5,$F$3:$F$117,"&lt;="&amp;AR6)</f>
        <v>0</v>
      </c>
      <c r="AS11" s="47">
        <f>COUNTIFS($F$3:$F$117,"&gt;"&amp;AS5,$F$3:$F$117,"&lt;="&amp;AS6)</f>
        <v>0</v>
      </c>
      <c r="AT11" s="47">
        <f>COUNTIFS($F$3:$F$117,"&gt;"&amp;AT5,$F$3:$F$117,"&lt;="&amp;AT6)</f>
        <v>0</v>
      </c>
      <c r="AU11" s="47">
        <f>COUNTIFS($F$3:$F$117,"&gt;"&amp;AU5,$F$3:$F$117,"&lt;="&amp;AU6)</f>
        <v>0</v>
      </c>
      <c r="AV11" s="47">
        <f>COUNTIFS($F$3:$F$117,"&gt;"&amp;AV5,$F$3:$F$117,"&lt;="&amp;AV6)</f>
        <v>0</v>
      </c>
      <c r="AW11" s="47">
        <f>COUNTIFS($F$3:$F$117,"&gt;"&amp;AW5,$F$3:$F$117,"&lt;="&amp;AW6)</f>
        <v>0</v>
      </c>
      <c r="AX11" s="47">
        <f>COUNTIFS($F$3:$F$117,"&gt;"&amp;AX5,$F$3:$F$117,"&lt;="&amp;AX6)</f>
        <v>0</v>
      </c>
      <c r="AY11" s="47">
        <f>COUNTIFS($F$3:$F$117,"&gt;"&amp;AY5,$F$3:$F$117,"&lt;="&amp;AY6)</f>
        <v>0</v>
      </c>
      <c r="AZ11" s="47">
        <f>COUNTIFS($F$3:$F$117,"&gt;"&amp;AZ5,$F$3:$F$117,"&lt;="&amp;AZ6)</f>
        <v>0</v>
      </c>
      <c r="BA11" s="47">
        <f>COUNTIFS($F$3:$F$117,"&gt;"&amp;BA5,$F$3:$F$117,"&lt;="&amp;BA6)</f>
        <v>0</v>
      </c>
      <c r="BB11" s="47">
        <f>COUNTIFS($F$3:$F$117,"&gt;"&amp;BB5,$F$3:$F$117,"&lt;="&amp;BB6)</f>
        <v>0</v>
      </c>
      <c r="BC11" s="47">
        <f>COUNTIFS($F$3:$F$117,"&gt;"&amp;BC5,$F$3:$F$117,"&lt;="&amp;BC6)</f>
        <v>0</v>
      </c>
      <c r="BD11" s="47">
        <f>COUNTIFS($F$3:$F$117,"&gt;"&amp;BD5,$F$3:$F$117,"&lt;="&amp;BD6)</f>
        <v>0</v>
      </c>
      <c r="BE11" s="47">
        <f>COUNTIFS($F$3:$F$117,"&gt;"&amp;BE5,$F$3:$F$117,"&lt;="&amp;BE6)</f>
        <v>0</v>
      </c>
      <c r="BH11" s="44">
        <v>60</v>
      </c>
      <c r="BI11" s="45">
        <v>6</v>
      </c>
      <c r="BJ11" s="45">
        <v>6</v>
      </c>
      <c r="BK11" s="45">
        <v>10</v>
      </c>
      <c r="BL11" s="45">
        <v>7</v>
      </c>
      <c r="BM11" s="45">
        <v>0</v>
      </c>
    </row>
    <row r="12" spans="2:65" ht="16" customHeight="1" x14ac:dyDescent="0.2">
      <c r="B12" s="7" t="str">
        <f t="shared" si="0"/>
        <v>#10</v>
      </c>
      <c r="C12" s="5">
        <v>200</v>
      </c>
      <c r="D12" s="5">
        <v>240</v>
      </c>
      <c r="E12" s="5">
        <v>225</v>
      </c>
      <c r="F12" s="5">
        <v>210</v>
      </c>
      <c r="G12" s="5">
        <v>430</v>
      </c>
      <c r="H12" s="32" t="s">
        <v>5</v>
      </c>
      <c r="I12" s="5">
        <v>200</v>
      </c>
      <c r="J12" s="2"/>
      <c r="K12" s="36" t="s">
        <v>3</v>
      </c>
      <c r="L12" s="47">
        <f>COUNTIFS($G$3:$G$117,"&gt;"&amp;L5,$G$3:$G$117,"&lt;="&amp;L6)</f>
        <v>0</v>
      </c>
      <c r="M12" s="47">
        <f>COUNTIFS($G$3:$G$117,"&gt;"&amp;M5,$G$3:$G$117,"&lt;="&amp;M6)</f>
        <v>0</v>
      </c>
      <c r="N12" s="47">
        <f>COUNTIFS($G$3:$G$117,"&gt;"&amp;N5,$G$3:$G$117,"&lt;="&amp;N6)</f>
        <v>0</v>
      </c>
      <c r="O12" s="47">
        <f>COUNTIFS($G$3:$G$117,"&gt;"&amp;O5,$G$3:$G$117,"&lt;="&amp;O6)</f>
        <v>0</v>
      </c>
      <c r="P12" s="47">
        <f>COUNTIFS($G$3:$G$117,"&gt;"&amp;P5,$G$3:$G$117,"&lt;="&amp;P6)</f>
        <v>0</v>
      </c>
      <c r="Q12" s="47">
        <f>COUNTIFS($G$3:$G$117,"&gt;"&amp;Q5,$G$3:$G$117,"&lt;="&amp;Q6)</f>
        <v>0</v>
      </c>
      <c r="R12" s="47">
        <f>COUNTIFS($G$3:$G$117,"&gt;"&amp;R5,$G$3:$G$117,"&lt;="&amp;R6)</f>
        <v>0</v>
      </c>
      <c r="S12" s="47">
        <f>COUNTIFS($G$3:$G$117,"&gt;"&amp;S5,$G$3:$G$117,"&lt;="&amp;S6)</f>
        <v>0</v>
      </c>
      <c r="T12" s="47">
        <f>COUNTIFS($G$3:$G$117,"&gt;"&amp;T5,$G$3:$G$117,"&lt;="&amp;T6)</f>
        <v>0</v>
      </c>
      <c r="U12" s="47">
        <f>COUNTIFS($G$3:$G$117,"&gt;"&amp;U5,$G$3:$G$117,"&lt;="&amp;U6)</f>
        <v>0</v>
      </c>
      <c r="V12" s="47">
        <f>COUNTIFS($G$3:$G$117,"&gt;"&amp;V5,$G$3:$G$117,"&lt;="&amp;V6)</f>
        <v>0</v>
      </c>
      <c r="W12" s="47">
        <f>COUNTIFS($G$3:$G$117,"&gt;"&amp;W5,$G$3:$G$117,"&lt;="&amp;W6)</f>
        <v>0</v>
      </c>
      <c r="X12" s="47">
        <f>COUNTIFS($G$3:$G$117,"&gt;"&amp;X5,$G$3:$G$117,"&lt;="&amp;X6)</f>
        <v>0</v>
      </c>
      <c r="Y12" s="47">
        <f>COUNTIFS($G$3:$G$117,"&gt;"&amp;Y5,$G$3:$G$117,"&lt;="&amp;Y6)</f>
        <v>0</v>
      </c>
      <c r="Z12" s="47">
        <f>COUNTIFS($G$3:$G$117,"&gt;"&amp;Z5,$G$3:$G$117,"&lt;="&amp;Z6)</f>
        <v>0</v>
      </c>
      <c r="AA12" s="47">
        <f>COUNTIFS($G$3:$G$117,"&gt;"&amp;AA5,$G$3:$G$117,"&lt;="&amp;AA6)</f>
        <v>0</v>
      </c>
      <c r="AB12" s="47">
        <f>COUNTIFS($G$3:$G$117,"&gt;"&amp;AB5,$G$3:$G$117,"&lt;="&amp;AB6)</f>
        <v>0</v>
      </c>
      <c r="AC12" s="47">
        <f>COUNTIFS($G$3:$G$117,"&gt;"&amp;AC5,$G$3:$G$117,"&lt;="&amp;AC6)</f>
        <v>0</v>
      </c>
      <c r="AD12" s="47">
        <f>COUNTIFS($G$3:$G$117,"&gt;"&amp;AD5,$G$3:$G$117,"&lt;="&amp;AD6)</f>
        <v>0</v>
      </c>
      <c r="AE12" s="47">
        <f>COUNTIFS($G$3:$G$117,"&gt;"&amp;AE5,$G$3:$G$117,"&lt;="&amp;AE6)</f>
        <v>0</v>
      </c>
      <c r="AF12" s="47">
        <f>COUNTIFS($G$3:$G$117,"&gt;"&amp;AF5,$G$3:$G$117,"&lt;="&amp;AF6)</f>
        <v>1</v>
      </c>
      <c r="AG12" s="47">
        <f>COUNTIFS($G$3:$G$117,"&gt;"&amp;AG5,$G$3:$G$117,"&lt;="&amp;AG6)</f>
        <v>0</v>
      </c>
      <c r="AH12" s="47">
        <f>COUNTIFS($G$3:$G$117,"&gt;"&amp;AH5,$G$3:$G$117,"&lt;="&amp;AH6)</f>
        <v>2</v>
      </c>
      <c r="AI12" s="47">
        <f>COUNTIFS($G$3:$G$117,"&gt;"&amp;AI5,$G$3:$G$117,"&lt;="&amp;AI6)</f>
        <v>4</v>
      </c>
      <c r="AJ12" s="47">
        <f>COUNTIFS($G$3:$G$117,"&gt;"&amp;AJ5,$G$3:$G$117,"&lt;="&amp;AJ6)</f>
        <v>7</v>
      </c>
      <c r="AK12" s="47">
        <f>COUNTIFS($G$3:$G$117,"&gt;"&amp;AK5,$G$3:$G$117,"&lt;="&amp;AK6)</f>
        <v>5</v>
      </c>
      <c r="AL12" s="47">
        <f>COUNTIFS($G$3:$G$117,"&gt;"&amp;AL5,$G$3:$G$117,"&lt;="&amp;AL6)</f>
        <v>6</v>
      </c>
      <c r="AM12" s="47">
        <f>COUNTIFS($G$3:$G$117,"&gt;"&amp;AM5,$G$3:$G$117,"&lt;="&amp;AM6)</f>
        <v>3</v>
      </c>
      <c r="AN12" s="47">
        <f>COUNTIFS($G$3:$G$117,"&gt;"&amp;AN5,$G$3:$G$117,"&lt;="&amp;AN6)</f>
        <v>3</v>
      </c>
      <c r="AO12" s="47">
        <f>COUNTIFS($G$3:$G$117,"&gt;"&amp;AO5,$G$3:$G$117,"&lt;="&amp;AO6)</f>
        <v>8</v>
      </c>
      <c r="AP12" s="47">
        <f>COUNTIFS($G$3:$G$117,"&gt;"&amp;AP5,$G$3:$G$117,"&lt;="&amp;AP6)</f>
        <v>5</v>
      </c>
      <c r="AQ12" s="47">
        <f>COUNTIFS($G$3:$G$117,"&gt;"&amp;AQ5,$G$3:$G$117,"&lt;="&amp;AQ6)</f>
        <v>7</v>
      </c>
      <c r="AR12" s="47">
        <f>COUNTIFS($G$3:$G$117,"&gt;"&amp;AR5,$G$3:$G$117,"&lt;="&amp;AR6)</f>
        <v>5</v>
      </c>
      <c r="AS12" s="47">
        <f>COUNTIFS($G$3:$G$117,"&gt;"&amp;AS5,$G$3:$G$117,"&lt;="&amp;AS6)</f>
        <v>6</v>
      </c>
      <c r="AT12" s="47">
        <f>COUNTIFS($G$3:$G$117,"&gt;"&amp;AT5,$G$3:$G$117,"&lt;="&amp;AT6)</f>
        <v>3</v>
      </c>
      <c r="AU12" s="47">
        <f>COUNTIFS($G$3:$G$117,"&gt;"&amp;AU5,$G$3:$G$117,"&lt;="&amp;AU6)</f>
        <v>2</v>
      </c>
      <c r="AV12" s="47">
        <f>COUNTIFS($G$3:$G$117,"&gt;"&amp;AV5,$G$3:$G$117,"&lt;="&amp;AV6)</f>
        <v>3</v>
      </c>
      <c r="AW12" s="47">
        <f>COUNTIFS($G$3:$G$117,"&gt;"&amp;AW5,$G$3:$G$117,"&lt;="&amp;AW6)</f>
        <v>3</v>
      </c>
      <c r="AX12" s="47">
        <f>COUNTIFS($G$3:$G$117,"&gt;"&amp;AX5,$G$3:$G$117,"&lt;="&amp;AX6)</f>
        <v>2</v>
      </c>
      <c r="AY12" s="47">
        <f>COUNTIFS($G$3:$G$117,"&gt;"&amp;AY5,$G$3:$G$117,"&lt;="&amp;AY6)</f>
        <v>2</v>
      </c>
      <c r="AZ12" s="47">
        <f>COUNTIFS($G$3:$G$117,"&gt;"&amp;AZ5,$G$3:$G$117,"&lt;="&amp;AZ6)</f>
        <v>3</v>
      </c>
      <c r="BA12" s="47">
        <f>COUNTIFS($G$3:$G$117,"&gt;"&amp;BA5,$G$3:$G$117,"&lt;="&amp;BA6)</f>
        <v>2</v>
      </c>
      <c r="BB12" s="47">
        <f>COUNTIFS($G$3:$G$117,"&gt;"&amp;BB5,$G$3:$G$117,"&lt;="&amp;BB6)</f>
        <v>3</v>
      </c>
      <c r="BC12" s="47">
        <f>COUNTIFS($G$3:$G$117,"&gt;"&amp;BC5,$G$3:$G$117,"&lt;="&amp;BC6)</f>
        <v>3</v>
      </c>
      <c r="BD12" s="47">
        <f>COUNTIFS($G$3:$G$117,"&gt;"&amp;BD5,$G$3:$G$117,"&lt;="&amp;BD6)</f>
        <v>6</v>
      </c>
      <c r="BE12" s="47">
        <f>COUNTIFS($G$3:$G$117,"&gt;"&amp;BE5,$G$3:$G$117,"&lt;="&amp;BE6)</f>
        <v>4</v>
      </c>
      <c r="BH12" s="44">
        <v>70</v>
      </c>
      <c r="BI12" s="45">
        <v>5</v>
      </c>
      <c r="BJ12" s="45">
        <v>6</v>
      </c>
      <c r="BK12" s="45">
        <v>2</v>
      </c>
      <c r="BL12" s="45">
        <v>8</v>
      </c>
      <c r="BM12" s="45">
        <v>0</v>
      </c>
    </row>
    <row r="13" spans="2:65" ht="16" customHeight="1" x14ac:dyDescent="0.2">
      <c r="B13" s="7" t="str">
        <f t="shared" si="0"/>
        <v>#11</v>
      </c>
      <c r="C13" s="5">
        <v>190</v>
      </c>
      <c r="D13" s="5">
        <v>230</v>
      </c>
      <c r="E13" s="5">
        <v>215</v>
      </c>
      <c r="F13" s="5">
        <v>200</v>
      </c>
      <c r="G13" s="5">
        <v>420</v>
      </c>
      <c r="H13" s="32" t="s">
        <v>5</v>
      </c>
      <c r="I13" s="5">
        <v>190</v>
      </c>
      <c r="J13" s="2"/>
      <c r="AH13" s="10"/>
      <c r="BH13" s="44">
        <v>80</v>
      </c>
      <c r="BI13" s="45">
        <v>4</v>
      </c>
      <c r="BJ13" s="45">
        <v>5</v>
      </c>
      <c r="BK13" s="45">
        <v>4</v>
      </c>
      <c r="BL13" s="45">
        <v>9</v>
      </c>
      <c r="BM13" s="45">
        <v>0</v>
      </c>
    </row>
    <row r="14" spans="2:65" ht="16" customHeight="1" x14ac:dyDescent="0.2">
      <c r="B14" s="7" t="str">
        <f t="shared" si="0"/>
        <v>#12</v>
      </c>
      <c r="C14" s="5">
        <v>180</v>
      </c>
      <c r="D14" s="5">
        <v>220</v>
      </c>
      <c r="E14" s="5">
        <v>205</v>
      </c>
      <c r="F14" s="5">
        <v>190</v>
      </c>
      <c r="G14" s="5">
        <v>410</v>
      </c>
      <c r="H14" s="32" t="s">
        <v>5</v>
      </c>
      <c r="I14" s="5">
        <v>180</v>
      </c>
      <c r="J14" s="2"/>
      <c r="M14" s="17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9"/>
      <c r="AI14" s="20"/>
      <c r="AJ14" s="20"/>
      <c r="AK14" s="20"/>
      <c r="AL14" s="20"/>
      <c r="AM14" s="20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21"/>
      <c r="BH14" s="44">
        <v>90</v>
      </c>
      <c r="BI14" s="45">
        <v>4</v>
      </c>
      <c r="BJ14" s="45">
        <v>7</v>
      </c>
      <c r="BK14" s="45">
        <v>4</v>
      </c>
      <c r="BL14" s="45">
        <v>4</v>
      </c>
      <c r="BM14" s="45">
        <v>0</v>
      </c>
    </row>
    <row r="15" spans="2:65" ht="16" customHeight="1" x14ac:dyDescent="0.2">
      <c r="B15" s="7" t="str">
        <f t="shared" si="0"/>
        <v>#13</v>
      </c>
      <c r="C15" s="5">
        <v>170</v>
      </c>
      <c r="D15" s="5">
        <v>210</v>
      </c>
      <c r="E15" s="5">
        <v>195</v>
      </c>
      <c r="F15" s="5">
        <v>180</v>
      </c>
      <c r="G15" s="5">
        <v>400</v>
      </c>
      <c r="H15" s="32" t="s">
        <v>5</v>
      </c>
      <c r="I15" s="5">
        <v>170</v>
      </c>
      <c r="J15" s="2"/>
      <c r="M15" s="24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H15" s="44">
        <v>100</v>
      </c>
      <c r="BI15" s="45">
        <v>2</v>
      </c>
      <c r="BJ15" s="45">
        <v>4</v>
      </c>
      <c r="BK15" s="45">
        <v>6</v>
      </c>
      <c r="BL15" s="45">
        <v>5</v>
      </c>
      <c r="BM15" s="45">
        <v>0</v>
      </c>
    </row>
    <row r="16" spans="2:65" ht="16" customHeight="1" x14ac:dyDescent="0.2">
      <c r="B16" s="7" t="str">
        <f t="shared" si="0"/>
        <v>#14</v>
      </c>
      <c r="C16" s="5">
        <v>160</v>
      </c>
      <c r="D16" s="5">
        <v>200</v>
      </c>
      <c r="E16" s="5">
        <v>185</v>
      </c>
      <c r="F16" s="5">
        <v>170</v>
      </c>
      <c r="G16" s="5">
        <v>390</v>
      </c>
      <c r="H16" s="32" t="s">
        <v>5</v>
      </c>
      <c r="I16" s="5">
        <v>160</v>
      </c>
      <c r="J16" s="2"/>
      <c r="K16" s="26"/>
      <c r="L16" s="31"/>
      <c r="M16" s="23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H16" s="44">
        <v>110</v>
      </c>
      <c r="BI16" s="45">
        <v>4</v>
      </c>
      <c r="BJ16" s="45">
        <v>5</v>
      </c>
      <c r="BK16" s="45">
        <v>6</v>
      </c>
      <c r="BL16" s="45">
        <v>4</v>
      </c>
      <c r="BM16" s="45">
        <v>0</v>
      </c>
    </row>
    <row r="17" spans="2:65" ht="16" customHeight="1" x14ac:dyDescent="0.2">
      <c r="B17" s="7" t="str">
        <f t="shared" si="0"/>
        <v>#15</v>
      </c>
      <c r="C17" s="5">
        <v>150</v>
      </c>
      <c r="D17" s="5">
        <v>190</v>
      </c>
      <c r="E17" s="5">
        <v>175</v>
      </c>
      <c r="F17" s="5">
        <v>160</v>
      </c>
      <c r="G17" s="5">
        <v>380</v>
      </c>
      <c r="H17" s="32" t="s">
        <v>5</v>
      </c>
      <c r="I17" s="5">
        <v>150</v>
      </c>
      <c r="J17" s="2"/>
      <c r="K17" s="26"/>
      <c r="L17" s="31"/>
      <c r="M17" s="23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H17" s="44">
        <v>120</v>
      </c>
      <c r="BI17" s="45">
        <v>5</v>
      </c>
      <c r="BJ17" s="45">
        <v>8</v>
      </c>
      <c r="BK17" s="45">
        <v>5</v>
      </c>
      <c r="BL17" s="45">
        <v>1</v>
      </c>
      <c r="BM17" s="45">
        <v>0</v>
      </c>
    </row>
    <row r="18" spans="2:65" ht="16" customHeight="1" x14ac:dyDescent="0.2">
      <c r="B18" s="7" t="str">
        <f t="shared" si="0"/>
        <v>#16</v>
      </c>
      <c r="C18" s="5">
        <v>140</v>
      </c>
      <c r="D18" s="5">
        <v>180</v>
      </c>
      <c r="E18" s="5">
        <v>165</v>
      </c>
      <c r="F18" s="5">
        <v>150</v>
      </c>
      <c r="G18" s="5">
        <v>370</v>
      </c>
      <c r="H18" s="32" t="s">
        <v>5</v>
      </c>
      <c r="I18" s="5">
        <v>140</v>
      </c>
      <c r="J18" s="2"/>
      <c r="K18" s="26"/>
      <c r="L18" s="31"/>
      <c r="M18" s="23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H18" s="44">
        <v>130</v>
      </c>
      <c r="BI18" s="45">
        <v>2</v>
      </c>
      <c r="BJ18" s="45">
        <v>7</v>
      </c>
      <c r="BK18" s="45">
        <v>2</v>
      </c>
      <c r="BL18" s="45">
        <v>3</v>
      </c>
      <c r="BM18" s="45">
        <v>0</v>
      </c>
    </row>
    <row r="19" spans="2:65" ht="16" customHeight="1" x14ac:dyDescent="0.2">
      <c r="B19" s="7" t="str">
        <f t="shared" si="0"/>
        <v>#17</v>
      </c>
      <c r="C19" s="5">
        <v>130</v>
      </c>
      <c r="D19" s="5">
        <v>170</v>
      </c>
      <c r="E19" s="5">
        <v>155</v>
      </c>
      <c r="F19" s="5">
        <v>140</v>
      </c>
      <c r="G19" s="5">
        <v>360</v>
      </c>
      <c r="H19" s="32" t="s">
        <v>5</v>
      </c>
      <c r="I19" s="5">
        <v>130</v>
      </c>
      <c r="J19" s="2"/>
      <c r="K19" s="26"/>
      <c r="L19" s="31"/>
      <c r="M19" s="23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H19" s="44">
        <v>140</v>
      </c>
      <c r="BI19" s="45">
        <v>4</v>
      </c>
      <c r="BJ19" s="45">
        <v>7</v>
      </c>
      <c r="BK19" s="45">
        <v>4</v>
      </c>
      <c r="BL19" s="45">
        <v>3</v>
      </c>
      <c r="BM19" s="45">
        <v>0</v>
      </c>
    </row>
    <row r="20" spans="2:65" ht="16" customHeight="1" x14ac:dyDescent="0.2">
      <c r="B20" s="7" t="str">
        <f t="shared" si="0"/>
        <v>#18</v>
      </c>
      <c r="C20" s="5">
        <v>120</v>
      </c>
      <c r="D20" s="5">
        <v>160</v>
      </c>
      <c r="E20" s="5">
        <v>145</v>
      </c>
      <c r="F20" s="5">
        <v>130</v>
      </c>
      <c r="G20" s="5">
        <v>350</v>
      </c>
      <c r="H20" s="32" t="s">
        <v>5</v>
      </c>
      <c r="I20" s="5">
        <v>120</v>
      </c>
      <c r="J20" s="2"/>
      <c r="K20" s="26"/>
      <c r="L20" s="31"/>
      <c r="M20" s="23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H20" s="44">
        <v>150</v>
      </c>
      <c r="BI20" s="45">
        <v>4</v>
      </c>
      <c r="BJ20" s="45">
        <v>2</v>
      </c>
      <c r="BK20" s="45">
        <v>5</v>
      </c>
      <c r="BL20" s="45">
        <v>2</v>
      </c>
      <c r="BM20" s="45">
        <v>0</v>
      </c>
    </row>
    <row r="21" spans="2:65" ht="16" customHeight="1" x14ac:dyDescent="0.2">
      <c r="B21" s="7" t="str">
        <f t="shared" si="0"/>
        <v>#19</v>
      </c>
      <c r="C21" s="5">
        <v>110</v>
      </c>
      <c r="D21" s="5">
        <v>150</v>
      </c>
      <c r="E21" s="5">
        <v>135</v>
      </c>
      <c r="F21" s="5">
        <v>120</v>
      </c>
      <c r="G21" s="5">
        <v>340</v>
      </c>
      <c r="H21" s="32" t="s">
        <v>5</v>
      </c>
      <c r="I21" s="5">
        <v>110</v>
      </c>
      <c r="J21" s="2"/>
      <c r="AH21" s="10"/>
      <c r="BH21" s="44">
        <v>160</v>
      </c>
      <c r="BI21" s="45">
        <v>2</v>
      </c>
      <c r="BJ21" s="45">
        <v>3</v>
      </c>
      <c r="BK21" s="45">
        <v>1</v>
      </c>
      <c r="BL21" s="45">
        <v>2</v>
      </c>
      <c r="BM21" s="45">
        <v>0</v>
      </c>
    </row>
    <row r="22" spans="2:65" ht="16" customHeight="1" x14ac:dyDescent="0.2">
      <c r="B22" s="7" t="str">
        <f t="shared" si="0"/>
        <v>#20</v>
      </c>
      <c r="C22" s="5">
        <v>100</v>
      </c>
      <c r="D22" s="5">
        <v>140</v>
      </c>
      <c r="E22" s="5">
        <v>125</v>
      </c>
      <c r="F22" s="5">
        <v>110</v>
      </c>
      <c r="G22" s="5">
        <v>330</v>
      </c>
      <c r="H22" s="32" t="s">
        <v>5</v>
      </c>
      <c r="I22" s="5">
        <v>100</v>
      </c>
      <c r="J22" s="2"/>
      <c r="AH22" s="10"/>
      <c r="BH22" s="44">
        <v>170</v>
      </c>
      <c r="BI22" s="45">
        <v>4</v>
      </c>
      <c r="BJ22" s="45">
        <v>2</v>
      </c>
      <c r="BK22" s="45">
        <v>3</v>
      </c>
      <c r="BL22" s="45">
        <v>3</v>
      </c>
      <c r="BM22" s="45">
        <v>0</v>
      </c>
    </row>
    <row r="23" spans="2:65" ht="16" customHeight="1" x14ac:dyDescent="0.2">
      <c r="B23" s="7" t="str">
        <f t="shared" si="0"/>
        <v>#21</v>
      </c>
      <c r="C23" s="8">
        <v>95</v>
      </c>
      <c r="D23" s="8">
        <v>135</v>
      </c>
      <c r="E23" s="8">
        <v>120</v>
      </c>
      <c r="F23" s="8">
        <v>105</v>
      </c>
      <c r="G23" s="8">
        <v>325</v>
      </c>
      <c r="H23" s="32" t="s">
        <v>5</v>
      </c>
      <c r="I23" s="5">
        <v>95</v>
      </c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0"/>
      <c r="AJ23" s="40"/>
      <c r="AK23" s="40"/>
      <c r="AL23" s="40"/>
      <c r="AM23" s="40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H23" s="44">
        <v>180</v>
      </c>
      <c r="BI23" s="45">
        <v>3</v>
      </c>
      <c r="BJ23" s="45">
        <v>4</v>
      </c>
      <c r="BK23" s="45">
        <v>4</v>
      </c>
      <c r="BL23" s="45">
        <v>1</v>
      </c>
      <c r="BM23" s="45">
        <v>0</v>
      </c>
    </row>
    <row r="24" spans="2:65" ht="16" customHeight="1" x14ac:dyDescent="0.2">
      <c r="B24" s="7" t="str">
        <f t="shared" si="0"/>
        <v>#22</v>
      </c>
      <c r="C24" s="8">
        <v>90</v>
      </c>
      <c r="D24" s="8">
        <v>130</v>
      </c>
      <c r="E24" s="8">
        <v>115</v>
      </c>
      <c r="F24" s="8">
        <v>100</v>
      </c>
      <c r="G24" s="8">
        <v>320</v>
      </c>
      <c r="H24" s="32" t="s">
        <v>5</v>
      </c>
      <c r="I24" s="5">
        <v>90</v>
      </c>
      <c r="K24" s="26"/>
      <c r="L24" s="31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8"/>
      <c r="BH24" s="44">
        <v>190</v>
      </c>
      <c r="BI24" s="45">
        <v>6</v>
      </c>
      <c r="BJ24" s="45">
        <v>2</v>
      </c>
      <c r="BK24" s="45">
        <v>2</v>
      </c>
      <c r="BL24" s="45">
        <v>6</v>
      </c>
      <c r="BM24" s="45">
        <v>0</v>
      </c>
    </row>
    <row r="25" spans="2:65" ht="16" customHeight="1" x14ac:dyDescent="0.2">
      <c r="B25" s="7" t="str">
        <f t="shared" si="0"/>
        <v>#23</v>
      </c>
      <c r="C25" s="8">
        <v>85</v>
      </c>
      <c r="D25" s="8">
        <v>125</v>
      </c>
      <c r="E25" s="8">
        <v>110</v>
      </c>
      <c r="F25" s="8">
        <v>95</v>
      </c>
      <c r="G25" s="8">
        <v>315</v>
      </c>
      <c r="H25" s="32" t="s">
        <v>5</v>
      </c>
      <c r="I25" s="5">
        <v>85</v>
      </c>
      <c r="K25" s="26"/>
      <c r="L25" s="31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8"/>
      <c r="BH25" s="44">
        <v>200</v>
      </c>
      <c r="BI25" s="45">
        <v>2</v>
      </c>
      <c r="BJ25" s="45">
        <v>2</v>
      </c>
      <c r="BK25" s="45">
        <v>3</v>
      </c>
      <c r="BL25" s="45">
        <v>8</v>
      </c>
      <c r="BM25" s="45">
        <v>1</v>
      </c>
    </row>
    <row r="26" spans="2:65" ht="16" customHeight="1" x14ac:dyDescent="0.2">
      <c r="B26" s="7" t="str">
        <f t="shared" si="0"/>
        <v>#24</v>
      </c>
      <c r="C26" s="8">
        <v>80</v>
      </c>
      <c r="D26" s="8">
        <v>120</v>
      </c>
      <c r="E26" s="8">
        <v>105</v>
      </c>
      <c r="F26" s="8">
        <v>90</v>
      </c>
      <c r="G26" s="8">
        <v>310</v>
      </c>
      <c r="H26" s="32" t="s">
        <v>5</v>
      </c>
      <c r="I26" s="5">
        <v>80</v>
      </c>
      <c r="K26" s="26"/>
      <c r="L26" s="31"/>
      <c r="M26" s="37"/>
      <c r="N26" s="37"/>
      <c r="O26" s="37"/>
      <c r="P26" s="37"/>
      <c r="Q26" s="37"/>
      <c r="R26" s="37"/>
      <c r="S26" s="39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8"/>
      <c r="BH26" s="44">
        <v>210</v>
      </c>
      <c r="BI26" s="45">
        <v>4</v>
      </c>
      <c r="BJ26" s="45">
        <v>4</v>
      </c>
      <c r="BK26" s="45">
        <v>4</v>
      </c>
      <c r="BL26" s="45">
        <v>3</v>
      </c>
      <c r="BM26" s="45">
        <v>0</v>
      </c>
    </row>
    <row r="27" spans="2:65" ht="16" customHeight="1" x14ac:dyDescent="0.2">
      <c r="B27" s="7" t="str">
        <f t="shared" si="0"/>
        <v>#25</v>
      </c>
      <c r="C27" s="8">
        <v>75</v>
      </c>
      <c r="D27" s="8">
        <v>115</v>
      </c>
      <c r="E27" s="8">
        <v>100</v>
      </c>
      <c r="F27" s="8">
        <v>85</v>
      </c>
      <c r="G27" s="8">
        <v>305</v>
      </c>
      <c r="H27" s="32" t="s">
        <v>5</v>
      </c>
      <c r="I27" s="5">
        <v>75</v>
      </c>
      <c r="K27" s="26"/>
      <c r="L27" s="31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8"/>
      <c r="BH27" s="44">
        <v>220</v>
      </c>
      <c r="BI27" s="45">
        <v>2</v>
      </c>
      <c r="BJ27" s="45">
        <v>6</v>
      </c>
      <c r="BK27" s="45">
        <v>3</v>
      </c>
      <c r="BL27" s="45">
        <v>7</v>
      </c>
      <c r="BM27" s="45">
        <v>2</v>
      </c>
    </row>
    <row r="28" spans="2:65" ht="16" customHeight="1" x14ac:dyDescent="0.2">
      <c r="B28" s="7" t="str">
        <f t="shared" si="0"/>
        <v>#26</v>
      </c>
      <c r="C28" s="8">
        <v>70</v>
      </c>
      <c r="D28" s="8">
        <v>110</v>
      </c>
      <c r="E28" s="8">
        <v>95</v>
      </c>
      <c r="F28" s="8">
        <v>80</v>
      </c>
      <c r="G28" s="8">
        <v>300</v>
      </c>
      <c r="H28" s="32" t="s">
        <v>5</v>
      </c>
      <c r="I28" s="5">
        <v>70</v>
      </c>
      <c r="K28" s="26"/>
      <c r="L28" s="31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8"/>
      <c r="BH28" s="44">
        <v>230</v>
      </c>
      <c r="BI28" s="45">
        <v>1</v>
      </c>
      <c r="BJ28" s="45">
        <v>4</v>
      </c>
      <c r="BK28" s="45">
        <v>4</v>
      </c>
      <c r="BL28" s="45">
        <v>7</v>
      </c>
      <c r="BM28" s="45">
        <v>4</v>
      </c>
    </row>
    <row r="29" spans="2:65" ht="16" customHeight="1" x14ac:dyDescent="0.2">
      <c r="B29" s="7" t="str">
        <f t="shared" si="0"/>
        <v>#27</v>
      </c>
      <c r="C29" s="8">
        <v>65</v>
      </c>
      <c r="D29" s="8">
        <v>105</v>
      </c>
      <c r="E29" s="8">
        <v>90</v>
      </c>
      <c r="F29" s="8">
        <v>75</v>
      </c>
      <c r="G29" s="8">
        <v>295</v>
      </c>
      <c r="H29" s="32" t="s">
        <v>5</v>
      </c>
      <c r="I29" s="5">
        <v>65</v>
      </c>
      <c r="AH29" s="10"/>
      <c r="BH29" s="44">
        <v>240</v>
      </c>
      <c r="BI29" s="45">
        <v>3</v>
      </c>
      <c r="BJ29" s="45">
        <v>5</v>
      </c>
      <c r="BK29" s="45">
        <v>5</v>
      </c>
      <c r="BL29" s="45">
        <v>3</v>
      </c>
      <c r="BM29" s="45">
        <v>7</v>
      </c>
    </row>
    <row r="30" spans="2:65" ht="16" customHeight="1" x14ac:dyDescent="0.2">
      <c r="B30" s="7" t="str">
        <f t="shared" si="0"/>
        <v>#28</v>
      </c>
      <c r="C30" s="8">
        <v>60</v>
      </c>
      <c r="D30" s="8">
        <v>100</v>
      </c>
      <c r="E30" s="8">
        <v>85</v>
      </c>
      <c r="F30" s="8">
        <v>70</v>
      </c>
      <c r="G30" s="8">
        <v>290</v>
      </c>
      <c r="H30" s="32" t="s">
        <v>5</v>
      </c>
      <c r="I30" s="5">
        <v>60</v>
      </c>
      <c r="AH30" s="10"/>
      <c r="BH30" s="44">
        <v>250</v>
      </c>
      <c r="BI30" s="45">
        <v>1</v>
      </c>
      <c r="BJ30" s="45">
        <v>1</v>
      </c>
      <c r="BK30" s="45">
        <v>2</v>
      </c>
      <c r="BL30" s="45">
        <v>5</v>
      </c>
      <c r="BM30" s="45">
        <v>5</v>
      </c>
    </row>
    <row r="31" spans="2:65" ht="16" customHeight="1" x14ac:dyDescent="0.2">
      <c r="B31" s="7" t="str">
        <f t="shared" si="0"/>
        <v>#29</v>
      </c>
      <c r="C31" s="8">
        <v>55</v>
      </c>
      <c r="D31" s="8">
        <v>95</v>
      </c>
      <c r="E31" s="8">
        <v>80</v>
      </c>
      <c r="F31" s="8">
        <v>65</v>
      </c>
      <c r="G31" s="8">
        <v>285</v>
      </c>
      <c r="H31" s="32" t="s">
        <v>5</v>
      </c>
      <c r="I31" s="5">
        <v>55</v>
      </c>
      <c r="L31" s="3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4"/>
      <c r="BH31" s="44">
        <v>260</v>
      </c>
      <c r="BI31" s="45">
        <v>3</v>
      </c>
      <c r="BJ31" s="45">
        <v>3</v>
      </c>
      <c r="BK31" s="45">
        <v>2</v>
      </c>
      <c r="BL31" s="45">
        <v>1</v>
      </c>
      <c r="BM31" s="45">
        <v>6</v>
      </c>
    </row>
    <row r="32" spans="2:65" ht="16" customHeight="1" x14ac:dyDescent="0.2">
      <c r="B32" s="7" t="str">
        <f t="shared" si="0"/>
        <v>#30</v>
      </c>
      <c r="C32" s="8">
        <v>50</v>
      </c>
      <c r="D32" s="8">
        <v>90</v>
      </c>
      <c r="E32" s="8">
        <v>50</v>
      </c>
      <c r="F32" s="8">
        <v>60</v>
      </c>
      <c r="G32" s="8">
        <v>280</v>
      </c>
      <c r="H32" s="32" t="s">
        <v>5</v>
      </c>
      <c r="I32" s="5">
        <v>50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4"/>
      <c r="BH32" s="44">
        <v>270</v>
      </c>
      <c r="BI32" s="45">
        <v>1</v>
      </c>
      <c r="BJ32" s="45">
        <v>1</v>
      </c>
      <c r="BK32" s="45">
        <v>4</v>
      </c>
      <c r="BL32" s="45">
        <v>0</v>
      </c>
      <c r="BM32" s="45">
        <v>3</v>
      </c>
    </row>
    <row r="33" spans="2:65" ht="16" customHeight="1" x14ac:dyDescent="0.2">
      <c r="B33" s="7" t="str">
        <f t="shared" si="0"/>
        <v>#31</v>
      </c>
      <c r="C33" s="8">
        <v>45</v>
      </c>
      <c r="D33" s="8">
        <v>85</v>
      </c>
      <c r="E33" s="8">
        <v>70</v>
      </c>
      <c r="F33" s="8">
        <v>55</v>
      </c>
      <c r="G33" s="8">
        <v>275</v>
      </c>
      <c r="H33" s="32" t="s">
        <v>5</v>
      </c>
      <c r="I33" s="5">
        <v>45</v>
      </c>
      <c r="AI33" s="1"/>
      <c r="AJ33" s="1"/>
      <c r="AK33" s="1"/>
      <c r="AL33" s="1"/>
      <c r="AM33" s="1"/>
      <c r="BH33" s="44">
        <v>280</v>
      </c>
      <c r="BI33" s="45">
        <v>3</v>
      </c>
      <c r="BJ33" s="45">
        <v>4</v>
      </c>
      <c r="BK33" s="45">
        <v>2</v>
      </c>
      <c r="BL33" s="45">
        <v>0</v>
      </c>
      <c r="BM33" s="45">
        <v>3</v>
      </c>
    </row>
    <row r="34" spans="2:65" ht="16" customHeight="1" x14ac:dyDescent="0.2">
      <c r="B34" s="7" t="str">
        <f t="shared" si="0"/>
        <v>#32</v>
      </c>
      <c r="C34" s="8">
        <v>40</v>
      </c>
      <c r="D34" s="8">
        <v>80</v>
      </c>
      <c r="E34" s="8">
        <v>55</v>
      </c>
      <c r="F34" s="8">
        <v>50</v>
      </c>
      <c r="G34" s="8">
        <v>270</v>
      </c>
      <c r="H34" s="32" t="s">
        <v>5</v>
      </c>
      <c r="I34" s="29">
        <v>40</v>
      </c>
      <c r="J34" s="46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1"/>
      <c r="AL34" s="1"/>
      <c r="AM34" s="1"/>
      <c r="BH34" s="44">
        <v>290</v>
      </c>
      <c r="BI34" s="45">
        <v>2</v>
      </c>
      <c r="BJ34" s="45">
        <v>3</v>
      </c>
      <c r="BK34" s="45">
        <v>2</v>
      </c>
      <c r="BL34" s="45">
        <v>0</v>
      </c>
      <c r="BM34" s="45">
        <v>8</v>
      </c>
    </row>
    <row r="35" spans="2:65" ht="16" customHeight="1" x14ac:dyDescent="0.2">
      <c r="B35" s="7" t="str">
        <f t="shared" si="0"/>
        <v>#33</v>
      </c>
      <c r="C35" s="8">
        <v>35</v>
      </c>
      <c r="D35" s="8">
        <v>75</v>
      </c>
      <c r="E35" s="8">
        <v>60</v>
      </c>
      <c r="F35" s="8">
        <v>45</v>
      </c>
      <c r="G35" s="8">
        <v>265</v>
      </c>
      <c r="H35" s="32" t="s">
        <v>5</v>
      </c>
      <c r="I35" s="29">
        <v>35</v>
      </c>
      <c r="J35" s="46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1"/>
      <c r="AL35" s="1"/>
      <c r="AM35" s="1"/>
      <c r="BH35" s="44">
        <v>300</v>
      </c>
      <c r="BI35" s="45">
        <v>1</v>
      </c>
      <c r="BJ35" s="45">
        <v>3</v>
      </c>
      <c r="BK35" s="45">
        <v>4</v>
      </c>
      <c r="BL35" s="45">
        <v>0</v>
      </c>
      <c r="BM35" s="45">
        <v>5</v>
      </c>
    </row>
    <row r="36" spans="2:65" ht="16" customHeight="1" x14ac:dyDescent="0.2">
      <c r="B36" s="7" t="str">
        <f t="shared" si="0"/>
        <v>#34</v>
      </c>
      <c r="C36" s="8">
        <v>30</v>
      </c>
      <c r="D36" s="8">
        <v>70</v>
      </c>
      <c r="E36" s="8">
        <v>55</v>
      </c>
      <c r="F36" s="8">
        <v>40</v>
      </c>
      <c r="G36" s="8">
        <v>260</v>
      </c>
      <c r="H36" s="32" t="s">
        <v>5</v>
      </c>
      <c r="I36" s="29">
        <v>30</v>
      </c>
      <c r="J36" s="46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1"/>
      <c r="AL36" s="1"/>
      <c r="AM36" s="1"/>
      <c r="BH36" s="44">
        <v>310</v>
      </c>
      <c r="BI36" s="45">
        <v>1</v>
      </c>
      <c r="BJ36" s="45">
        <v>2</v>
      </c>
      <c r="BK36" s="45">
        <v>2</v>
      </c>
      <c r="BL36" s="45">
        <v>0</v>
      </c>
      <c r="BM36" s="45">
        <v>7</v>
      </c>
    </row>
    <row r="37" spans="2:65" ht="16" customHeight="1" x14ac:dyDescent="0.2">
      <c r="B37" s="7" t="str">
        <f t="shared" si="0"/>
        <v>#35</v>
      </c>
      <c r="C37" s="8">
        <v>25</v>
      </c>
      <c r="D37" s="8">
        <v>65</v>
      </c>
      <c r="E37" s="8">
        <v>50</v>
      </c>
      <c r="F37" s="8">
        <v>35</v>
      </c>
      <c r="G37" s="8">
        <v>255</v>
      </c>
      <c r="H37" s="32" t="s">
        <v>5</v>
      </c>
      <c r="I37" s="29">
        <v>25</v>
      </c>
      <c r="J37" s="46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1"/>
      <c r="AL37" s="1"/>
      <c r="AM37" s="1"/>
      <c r="BH37" s="44">
        <v>320</v>
      </c>
      <c r="BI37" s="45">
        <v>0</v>
      </c>
      <c r="BJ37" s="45">
        <v>1</v>
      </c>
      <c r="BK37" s="45">
        <v>0</v>
      </c>
      <c r="BL37" s="45">
        <v>0</v>
      </c>
      <c r="BM37" s="45">
        <v>5</v>
      </c>
    </row>
    <row r="38" spans="2:65" ht="16" customHeight="1" x14ac:dyDescent="0.2">
      <c r="B38" s="7" t="str">
        <f t="shared" si="0"/>
        <v>#36</v>
      </c>
      <c r="C38" s="8">
        <v>20</v>
      </c>
      <c r="D38" s="8">
        <v>60</v>
      </c>
      <c r="E38" s="8">
        <v>45</v>
      </c>
      <c r="F38" s="8">
        <v>30</v>
      </c>
      <c r="G38" s="8">
        <v>250</v>
      </c>
      <c r="H38" s="32" t="s">
        <v>5</v>
      </c>
      <c r="I38" s="29">
        <v>20</v>
      </c>
      <c r="J38" s="46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1"/>
      <c r="AL38" s="1"/>
      <c r="AM38" s="1"/>
      <c r="BH38" s="44">
        <v>330</v>
      </c>
      <c r="BI38" s="45">
        <v>0</v>
      </c>
      <c r="BJ38" s="45">
        <v>1</v>
      </c>
      <c r="BK38" s="45">
        <v>0</v>
      </c>
      <c r="BL38" s="45">
        <v>0</v>
      </c>
      <c r="BM38" s="45">
        <v>6</v>
      </c>
    </row>
    <row r="39" spans="2:65" ht="16" customHeight="1" x14ac:dyDescent="0.2">
      <c r="B39" s="7" t="str">
        <f t="shared" si="0"/>
        <v>#37</v>
      </c>
      <c r="C39" s="8">
        <v>15</v>
      </c>
      <c r="D39" s="8">
        <v>55</v>
      </c>
      <c r="E39" s="8">
        <v>40</v>
      </c>
      <c r="F39" s="8">
        <v>25</v>
      </c>
      <c r="G39" s="8">
        <v>245</v>
      </c>
      <c r="H39" s="32" t="s">
        <v>5</v>
      </c>
      <c r="I39" s="5">
        <v>15</v>
      </c>
      <c r="AH39" s="10"/>
      <c r="BH39" s="44">
        <v>340</v>
      </c>
      <c r="BI39" s="45">
        <v>0</v>
      </c>
      <c r="BJ39" s="45">
        <v>0</v>
      </c>
      <c r="BK39" s="45">
        <v>0</v>
      </c>
      <c r="BL39" s="45">
        <v>0</v>
      </c>
      <c r="BM39" s="45">
        <v>3</v>
      </c>
    </row>
    <row r="40" spans="2:65" ht="16" customHeight="1" x14ac:dyDescent="0.2">
      <c r="B40" s="7" t="str">
        <f t="shared" si="0"/>
        <v>#38</v>
      </c>
      <c r="C40" s="8">
        <v>10</v>
      </c>
      <c r="D40" s="8">
        <v>50</v>
      </c>
      <c r="E40" s="8">
        <v>35</v>
      </c>
      <c r="F40" s="8">
        <v>20</v>
      </c>
      <c r="G40" s="8">
        <v>240</v>
      </c>
      <c r="H40" s="32" t="s">
        <v>5</v>
      </c>
      <c r="I40" s="5">
        <v>10</v>
      </c>
      <c r="AH40" s="10"/>
      <c r="BH40" s="44">
        <v>350</v>
      </c>
      <c r="BI40" s="45">
        <v>0</v>
      </c>
      <c r="BJ40" s="45">
        <v>0</v>
      </c>
      <c r="BK40" s="45">
        <v>0</v>
      </c>
      <c r="BL40" s="45">
        <v>0</v>
      </c>
      <c r="BM40" s="45">
        <v>2</v>
      </c>
    </row>
    <row r="41" spans="2:65" ht="16" customHeight="1" x14ac:dyDescent="0.2">
      <c r="B41" s="7" t="str">
        <f t="shared" si="0"/>
        <v>#39</v>
      </c>
      <c r="C41" s="8">
        <v>5</v>
      </c>
      <c r="D41" s="9">
        <v>45</v>
      </c>
      <c r="E41" s="8">
        <v>30</v>
      </c>
      <c r="F41" s="8">
        <v>15</v>
      </c>
      <c r="G41" s="8">
        <v>235</v>
      </c>
      <c r="H41" s="32" t="s">
        <v>5</v>
      </c>
      <c r="I41" s="5">
        <v>5</v>
      </c>
      <c r="AH41" s="10"/>
      <c r="BH41" s="44">
        <v>360</v>
      </c>
      <c r="BI41" s="45">
        <v>0</v>
      </c>
      <c r="BJ41" s="45">
        <v>0</v>
      </c>
      <c r="BK41" s="45">
        <v>0</v>
      </c>
      <c r="BL41" s="45">
        <v>0</v>
      </c>
      <c r="BM41" s="45">
        <v>3</v>
      </c>
    </row>
    <row r="42" spans="2:65" ht="16" customHeight="1" x14ac:dyDescent="0.2">
      <c r="B42" s="7" t="str">
        <f t="shared" si="0"/>
        <v>#40</v>
      </c>
      <c r="C42" s="8">
        <v>0</v>
      </c>
      <c r="D42" s="8">
        <v>40</v>
      </c>
      <c r="E42" s="8">
        <v>25</v>
      </c>
      <c r="F42" s="8">
        <v>10</v>
      </c>
      <c r="G42" s="8">
        <v>230</v>
      </c>
      <c r="H42" s="32" t="s">
        <v>5</v>
      </c>
      <c r="I42" s="5">
        <v>0</v>
      </c>
      <c r="AH42" s="10"/>
      <c r="BH42" s="44">
        <v>370</v>
      </c>
      <c r="BI42" s="45">
        <v>0</v>
      </c>
      <c r="BJ42" s="45">
        <v>0</v>
      </c>
      <c r="BK42" s="45">
        <v>0</v>
      </c>
      <c r="BL42" s="45">
        <v>0</v>
      </c>
      <c r="BM42" s="45">
        <v>3</v>
      </c>
    </row>
    <row r="43" spans="2:65" ht="16" customHeight="1" x14ac:dyDescent="0.2">
      <c r="B43" s="7" t="str">
        <f t="shared" si="0"/>
        <v>#41</v>
      </c>
      <c r="C43" s="15">
        <v>285</v>
      </c>
      <c r="D43" s="15">
        <v>226</v>
      </c>
      <c r="E43" s="15">
        <v>295</v>
      </c>
      <c r="F43" s="15">
        <v>199</v>
      </c>
      <c r="G43" s="15">
        <v>442</v>
      </c>
      <c r="H43" s="32" t="s">
        <v>5</v>
      </c>
      <c r="I43" s="33">
        <v>285</v>
      </c>
      <c r="J43" s="15"/>
      <c r="AH43" s="10"/>
      <c r="BH43" s="44">
        <v>380</v>
      </c>
      <c r="BI43" s="45">
        <v>0</v>
      </c>
      <c r="BJ43" s="45">
        <v>0</v>
      </c>
      <c r="BK43" s="45">
        <v>0</v>
      </c>
      <c r="BL43" s="45">
        <v>0</v>
      </c>
      <c r="BM43" s="45">
        <v>2</v>
      </c>
    </row>
    <row r="44" spans="2:65" ht="16" customHeight="1" x14ac:dyDescent="0.2">
      <c r="B44" s="7" t="str">
        <f t="shared" si="0"/>
        <v>#42</v>
      </c>
      <c r="C44" s="15">
        <v>286</v>
      </c>
      <c r="D44" s="15">
        <v>307</v>
      </c>
      <c r="E44" s="15">
        <v>289</v>
      </c>
      <c r="F44" s="15">
        <v>229</v>
      </c>
      <c r="G44" s="15">
        <v>511</v>
      </c>
      <c r="H44" s="32" t="s">
        <v>5</v>
      </c>
      <c r="I44" s="33">
        <v>286</v>
      </c>
      <c r="J44" s="15"/>
      <c r="AH44" s="10"/>
      <c r="BH44" s="44">
        <v>390</v>
      </c>
      <c r="BI44" s="45">
        <v>0</v>
      </c>
      <c r="BJ44" s="45">
        <v>0</v>
      </c>
      <c r="BK44" s="45">
        <v>0</v>
      </c>
      <c r="BL44" s="45">
        <v>0</v>
      </c>
      <c r="BM44" s="45">
        <v>2</v>
      </c>
    </row>
    <row r="45" spans="2:65" ht="16" customHeight="1" x14ac:dyDescent="0.2">
      <c r="B45" s="7" t="str">
        <f t="shared" si="0"/>
        <v>#43</v>
      </c>
      <c r="C45" s="15">
        <v>296</v>
      </c>
      <c r="D45" s="15">
        <v>322</v>
      </c>
      <c r="E45" s="15">
        <v>310</v>
      </c>
      <c r="F45" s="15">
        <v>208</v>
      </c>
      <c r="G45" s="15">
        <v>498</v>
      </c>
      <c r="H45" s="32" t="s">
        <v>5</v>
      </c>
      <c r="I45" s="33">
        <v>296</v>
      </c>
      <c r="J45" s="15"/>
      <c r="AH45" s="10"/>
      <c r="BH45" s="44">
        <v>400</v>
      </c>
      <c r="BI45" s="45">
        <v>0</v>
      </c>
      <c r="BJ45" s="45">
        <v>0</v>
      </c>
      <c r="BK45" s="45">
        <v>0</v>
      </c>
      <c r="BL45" s="45">
        <v>0</v>
      </c>
      <c r="BM45" s="45">
        <v>3</v>
      </c>
    </row>
    <row r="46" spans="2:65" ht="16" customHeight="1" x14ac:dyDescent="0.2">
      <c r="B46" s="7" t="str">
        <f t="shared" si="0"/>
        <v>#44</v>
      </c>
      <c r="C46" s="15">
        <v>290</v>
      </c>
      <c r="D46" s="15">
        <v>298</v>
      </c>
      <c r="E46" s="15">
        <v>308</v>
      </c>
      <c r="F46" s="15">
        <v>231</v>
      </c>
      <c r="G46" s="15">
        <v>474</v>
      </c>
      <c r="H46" s="32" t="s">
        <v>5</v>
      </c>
      <c r="I46" s="33">
        <v>290</v>
      </c>
      <c r="J46" s="15"/>
      <c r="AH46" s="10"/>
      <c r="BH46" s="44">
        <v>410</v>
      </c>
      <c r="BI46" s="45">
        <v>0</v>
      </c>
      <c r="BJ46" s="45">
        <v>0</v>
      </c>
      <c r="BK46" s="45">
        <v>0</v>
      </c>
      <c r="BL46" s="45">
        <v>0</v>
      </c>
      <c r="BM46" s="45">
        <v>2</v>
      </c>
    </row>
    <row r="47" spans="2:65" ht="16" customHeight="1" x14ac:dyDescent="0.2">
      <c r="B47" s="7" t="str">
        <f t="shared" si="0"/>
        <v>#45</v>
      </c>
      <c r="C47" s="15">
        <v>241</v>
      </c>
      <c r="D47" s="15">
        <v>264</v>
      </c>
      <c r="E47" s="15">
        <v>284</v>
      </c>
      <c r="F47" s="15">
        <v>252</v>
      </c>
      <c r="G47" s="15">
        <v>471</v>
      </c>
      <c r="H47" s="32" t="s">
        <v>5</v>
      </c>
      <c r="I47" s="33">
        <v>241</v>
      </c>
      <c r="J47" s="15"/>
      <c r="AH47" s="10"/>
      <c r="BH47" s="44">
        <v>420</v>
      </c>
      <c r="BI47" s="45">
        <v>0</v>
      </c>
      <c r="BJ47" s="45">
        <v>0</v>
      </c>
      <c r="BK47" s="45">
        <v>0</v>
      </c>
      <c r="BL47" s="45">
        <v>0</v>
      </c>
      <c r="BM47" s="45">
        <v>3</v>
      </c>
    </row>
    <row r="48" spans="2:65" ht="16" customHeight="1" x14ac:dyDescent="0.2">
      <c r="B48" s="7" t="str">
        <f t="shared" si="0"/>
        <v>#46</v>
      </c>
      <c r="C48" s="15">
        <v>220</v>
      </c>
      <c r="D48" s="15">
        <v>288</v>
      </c>
      <c r="E48" s="15">
        <v>243</v>
      </c>
      <c r="F48" s="15">
        <v>265</v>
      </c>
      <c r="G48" s="15">
        <v>487</v>
      </c>
      <c r="H48" s="32" t="s">
        <v>5</v>
      </c>
      <c r="I48" s="33">
        <v>220</v>
      </c>
      <c r="J48" s="15"/>
      <c r="AH48" s="10"/>
      <c r="BH48" s="44">
        <v>430</v>
      </c>
      <c r="BI48" s="45">
        <v>0</v>
      </c>
      <c r="BJ48" s="45">
        <v>0</v>
      </c>
      <c r="BK48" s="45">
        <v>0</v>
      </c>
      <c r="BL48" s="45">
        <v>0</v>
      </c>
      <c r="BM48" s="45">
        <v>3</v>
      </c>
    </row>
    <row r="49" spans="2:65" ht="16" customHeight="1" x14ac:dyDescent="0.2">
      <c r="B49" s="7" t="str">
        <f t="shared" si="0"/>
        <v>#47</v>
      </c>
      <c r="C49" s="15">
        <v>212</v>
      </c>
      <c r="D49" s="15">
        <v>290</v>
      </c>
      <c r="E49" s="15">
        <v>237</v>
      </c>
      <c r="F49" s="15">
        <v>235</v>
      </c>
      <c r="G49" s="15">
        <v>447</v>
      </c>
      <c r="H49" s="32" t="s">
        <v>5</v>
      </c>
      <c r="I49" s="33">
        <v>212</v>
      </c>
      <c r="J49" s="15"/>
      <c r="AH49" s="10"/>
      <c r="BH49" s="44">
        <v>440</v>
      </c>
      <c r="BI49" s="45">
        <v>0</v>
      </c>
      <c r="BJ49" s="45">
        <v>0</v>
      </c>
      <c r="BK49" s="45">
        <v>0</v>
      </c>
      <c r="BL49" s="45">
        <v>0</v>
      </c>
      <c r="BM49" s="45">
        <v>6</v>
      </c>
    </row>
    <row r="50" spans="2:65" ht="16" customHeight="1" x14ac:dyDescent="0.2">
      <c r="B50" s="7" t="str">
        <f t="shared" si="0"/>
        <v>#48</v>
      </c>
      <c r="C50" s="15">
        <v>195</v>
      </c>
      <c r="D50" s="15">
        <v>246</v>
      </c>
      <c r="E50" s="15">
        <v>235</v>
      </c>
      <c r="F50" s="15">
        <v>249</v>
      </c>
      <c r="G50" s="15">
        <v>473</v>
      </c>
      <c r="H50" s="32" t="s">
        <v>5</v>
      </c>
      <c r="I50" s="33">
        <v>195</v>
      </c>
      <c r="J50" s="15"/>
      <c r="AH50" s="10"/>
      <c r="BH50" s="44">
        <v>450</v>
      </c>
      <c r="BI50" s="45">
        <v>0</v>
      </c>
      <c r="BJ50" s="45">
        <v>0</v>
      </c>
      <c r="BK50" s="45">
        <v>0</v>
      </c>
      <c r="BL50" s="45">
        <v>0</v>
      </c>
      <c r="BM50" s="45">
        <v>4</v>
      </c>
    </row>
    <row r="51" spans="2:65" x14ac:dyDescent="0.2">
      <c r="B51" s="7" t="str">
        <f t="shared" si="0"/>
        <v>#49</v>
      </c>
      <c r="C51" s="15">
        <v>223</v>
      </c>
      <c r="D51" s="15">
        <v>240</v>
      </c>
      <c r="E51" s="15">
        <v>217</v>
      </c>
      <c r="F51" s="15">
        <v>232</v>
      </c>
      <c r="G51" s="15">
        <v>451</v>
      </c>
      <c r="H51" s="32" t="s">
        <v>5</v>
      </c>
      <c r="I51" s="33">
        <v>223</v>
      </c>
      <c r="J51" s="15"/>
      <c r="AH51" s="10"/>
    </row>
    <row r="52" spans="2:65" x14ac:dyDescent="0.2">
      <c r="B52" s="7" t="str">
        <f t="shared" si="0"/>
        <v>#50</v>
      </c>
      <c r="C52" s="15">
        <v>199</v>
      </c>
      <c r="D52" s="15">
        <v>212</v>
      </c>
      <c r="E52" s="15">
        <v>206</v>
      </c>
      <c r="F52" s="15">
        <v>205</v>
      </c>
      <c r="G52" s="15">
        <v>443</v>
      </c>
      <c r="H52" s="32" t="s">
        <v>5</v>
      </c>
      <c r="I52" s="33">
        <v>199</v>
      </c>
      <c r="J52" s="15"/>
      <c r="AH52" s="10"/>
    </row>
    <row r="53" spans="2:65" x14ac:dyDescent="0.2">
      <c r="B53" s="7" t="str">
        <f t="shared" si="0"/>
        <v>#51</v>
      </c>
      <c r="C53" s="15">
        <v>181</v>
      </c>
      <c r="D53" s="15">
        <v>218</v>
      </c>
      <c r="E53" s="15">
        <v>241</v>
      </c>
      <c r="F53" s="15">
        <v>222</v>
      </c>
      <c r="G53" s="15">
        <v>425</v>
      </c>
      <c r="H53" s="32" t="s">
        <v>5</v>
      </c>
      <c r="I53" s="33">
        <v>181</v>
      </c>
      <c r="J53" s="15"/>
      <c r="AH53" s="10"/>
    </row>
    <row r="54" spans="2:65" x14ac:dyDescent="0.2">
      <c r="B54" s="7" t="str">
        <f t="shared" si="0"/>
        <v>#52</v>
      </c>
      <c r="C54" s="15">
        <v>172</v>
      </c>
      <c r="D54" s="15">
        <v>211</v>
      </c>
      <c r="E54" s="15">
        <v>214</v>
      </c>
      <c r="F54" s="15">
        <v>206</v>
      </c>
      <c r="G54" s="15">
        <v>438</v>
      </c>
      <c r="H54" s="32" t="s">
        <v>5</v>
      </c>
      <c r="I54" s="33">
        <v>172</v>
      </c>
      <c r="J54" s="15"/>
      <c r="AH54" s="10"/>
    </row>
    <row r="55" spans="2:65" x14ac:dyDescent="0.2">
      <c r="B55" s="7" t="str">
        <f t="shared" si="0"/>
        <v>#53</v>
      </c>
      <c r="C55" s="15">
        <v>177</v>
      </c>
      <c r="D55" s="15">
        <v>229</v>
      </c>
      <c r="E55" s="15">
        <v>188</v>
      </c>
      <c r="F55" s="15">
        <v>199</v>
      </c>
      <c r="G55" s="15">
        <v>407</v>
      </c>
      <c r="H55" s="32" t="s">
        <v>5</v>
      </c>
      <c r="I55" s="33">
        <v>177</v>
      </c>
      <c r="J55" s="15"/>
    </row>
    <row r="56" spans="2:65" x14ac:dyDescent="0.2">
      <c r="B56" s="7" t="str">
        <f t="shared" si="0"/>
        <v>#54</v>
      </c>
      <c r="C56" s="15">
        <v>159</v>
      </c>
      <c r="D56" s="15">
        <v>189</v>
      </c>
      <c r="E56" s="15">
        <v>212</v>
      </c>
      <c r="F56" s="15">
        <v>194</v>
      </c>
      <c r="G56" s="15">
        <v>363</v>
      </c>
      <c r="H56" s="32" t="s">
        <v>5</v>
      </c>
      <c r="I56" s="33">
        <v>159</v>
      </c>
      <c r="J56" s="15"/>
    </row>
    <row r="57" spans="2:65" x14ac:dyDescent="0.2">
      <c r="B57" s="7" t="str">
        <f t="shared" si="0"/>
        <v>#55</v>
      </c>
      <c r="C57" s="15">
        <v>130</v>
      </c>
      <c r="D57" s="15">
        <v>169</v>
      </c>
      <c r="E57" s="15">
        <v>156</v>
      </c>
      <c r="F57" s="15">
        <v>177</v>
      </c>
      <c r="G57" s="15">
        <v>395</v>
      </c>
      <c r="H57" s="32" t="s">
        <v>5</v>
      </c>
      <c r="I57" s="33">
        <v>130</v>
      </c>
      <c r="J57" s="15"/>
    </row>
    <row r="58" spans="2:65" x14ac:dyDescent="0.2">
      <c r="B58" s="7" t="str">
        <f t="shared" si="0"/>
        <v>#56</v>
      </c>
      <c r="C58" s="15">
        <v>139</v>
      </c>
      <c r="D58" s="15">
        <v>199</v>
      </c>
      <c r="E58" s="15">
        <v>193</v>
      </c>
      <c r="F58" s="15">
        <v>178</v>
      </c>
      <c r="G58" s="15">
        <v>368</v>
      </c>
      <c r="H58" s="32" t="s">
        <v>5</v>
      </c>
      <c r="I58" s="33">
        <v>139</v>
      </c>
      <c r="J58" s="15"/>
    </row>
    <row r="59" spans="2:65" x14ac:dyDescent="0.2">
      <c r="B59" s="7" t="str">
        <f t="shared" si="0"/>
        <v>#57</v>
      </c>
      <c r="C59" s="15">
        <v>122</v>
      </c>
      <c r="D59" s="15">
        <v>175</v>
      </c>
      <c r="E59" s="15">
        <v>146</v>
      </c>
      <c r="F59" s="15">
        <v>145</v>
      </c>
      <c r="G59" s="15">
        <v>372</v>
      </c>
      <c r="H59" s="32" t="s">
        <v>5</v>
      </c>
      <c r="I59" s="33">
        <v>122</v>
      </c>
      <c r="J59" s="15"/>
    </row>
    <row r="60" spans="2:65" x14ac:dyDescent="0.2">
      <c r="B60" s="7" t="str">
        <f t="shared" si="0"/>
        <v>#58</v>
      </c>
      <c r="C60" s="15">
        <v>115</v>
      </c>
      <c r="D60" s="15">
        <v>146</v>
      </c>
      <c r="E60" s="15">
        <v>152</v>
      </c>
      <c r="F60" s="15">
        <v>101</v>
      </c>
      <c r="G60" s="15">
        <v>329</v>
      </c>
      <c r="H60" s="32" t="s">
        <v>5</v>
      </c>
      <c r="I60" s="33">
        <v>115</v>
      </c>
      <c r="J60" s="15"/>
    </row>
    <row r="61" spans="2:65" x14ac:dyDescent="0.2">
      <c r="B61" s="7" t="str">
        <f t="shared" si="0"/>
        <v>#59</v>
      </c>
      <c r="C61" s="15">
        <v>127</v>
      </c>
      <c r="D61" s="15">
        <v>124</v>
      </c>
      <c r="E61" s="15">
        <v>143</v>
      </c>
      <c r="F61" s="15">
        <v>109</v>
      </c>
      <c r="G61" s="15">
        <v>349</v>
      </c>
      <c r="H61" s="32" t="s">
        <v>5</v>
      </c>
      <c r="I61" s="33">
        <v>127</v>
      </c>
      <c r="J61" s="15"/>
    </row>
    <row r="62" spans="2:65" x14ac:dyDescent="0.2">
      <c r="B62" s="7" t="str">
        <f t="shared" si="0"/>
        <v>#60</v>
      </c>
      <c r="C62" s="15">
        <v>129</v>
      </c>
      <c r="D62" s="15">
        <v>162</v>
      </c>
      <c r="E62" s="15">
        <v>108</v>
      </c>
      <c r="F62" s="15">
        <v>131</v>
      </c>
      <c r="G62" s="15">
        <v>331</v>
      </c>
      <c r="H62" s="32" t="s">
        <v>5</v>
      </c>
      <c r="I62" s="33">
        <v>129</v>
      </c>
      <c r="J62" s="15"/>
    </row>
    <row r="63" spans="2:65" x14ac:dyDescent="0.2">
      <c r="B63" s="7" t="str">
        <f t="shared" si="0"/>
        <v>#61</v>
      </c>
      <c r="C63" s="15">
        <v>99</v>
      </c>
      <c r="D63" s="15">
        <v>140</v>
      </c>
      <c r="E63" s="15">
        <v>124</v>
      </c>
      <c r="F63" s="15">
        <v>84</v>
      </c>
      <c r="G63" s="15">
        <v>300</v>
      </c>
      <c r="H63" s="32" t="s">
        <v>5</v>
      </c>
      <c r="I63" s="33">
        <v>99</v>
      </c>
      <c r="J63" s="15"/>
    </row>
    <row r="64" spans="2:65" x14ac:dyDescent="0.2">
      <c r="B64" s="7" t="str">
        <f t="shared" si="0"/>
        <v>#62</v>
      </c>
      <c r="C64" s="15">
        <v>71</v>
      </c>
      <c r="D64" s="15">
        <v>140</v>
      </c>
      <c r="E64" s="15">
        <v>105</v>
      </c>
      <c r="F64" s="15">
        <v>114</v>
      </c>
      <c r="G64" s="15">
        <v>309</v>
      </c>
      <c r="H64" s="32" t="s">
        <v>5</v>
      </c>
      <c r="I64" s="33">
        <v>71</v>
      </c>
      <c r="J64" s="15"/>
    </row>
    <row r="65" spans="2:10" x14ac:dyDescent="0.2">
      <c r="B65" s="7" t="str">
        <f t="shared" si="0"/>
        <v>#63</v>
      </c>
      <c r="C65" s="15">
        <v>96</v>
      </c>
      <c r="D65" s="15">
        <v>95</v>
      </c>
      <c r="E65" s="15">
        <v>129</v>
      </c>
      <c r="F65" s="15">
        <v>79</v>
      </c>
      <c r="G65" s="15">
        <v>298</v>
      </c>
      <c r="H65" s="32" t="s">
        <v>5</v>
      </c>
      <c r="I65" s="33">
        <v>96</v>
      </c>
      <c r="J65" s="15"/>
    </row>
    <row r="66" spans="2:10" x14ac:dyDescent="0.2">
      <c r="B66" s="7" t="str">
        <f t="shared" si="0"/>
        <v>#64</v>
      </c>
      <c r="C66" s="15">
        <v>87</v>
      </c>
      <c r="D66" s="15">
        <v>122</v>
      </c>
      <c r="E66" s="15">
        <v>84</v>
      </c>
      <c r="F66" s="15">
        <v>120</v>
      </c>
      <c r="G66" s="15">
        <v>331</v>
      </c>
      <c r="H66" s="32" t="s">
        <v>5</v>
      </c>
      <c r="I66" s="33">
        <v>87</v>
      </c>
      <c r="J66" s="15"/>
    </row>
    <row r="67" spans="2:10" x14ac:dyDescent="0.2">
      <c r="B67" s="7" t="str">
        <f t="shared" si="0"/>
        <v>#65</v>
      </c>
      <c r="C67" s="15">
        <v>57</v>
      </c>
      <c r="D67" s="15">
        <v>122</v>
      </c>
      <c r="E67" s="15">
        <v>109</v>
      </c>
      <c r="F67" s="15">
        <v>91</v>
      </c>
      <c r="G67" s="15">
        <v>327</v>
      </c>
      <c r="H67" s="32" t="s">
        <v>5</v>
      </c>
      <c r="I67" s="33">
        <v>57</v>
      </c>
      <c r="J67" s="15"/>
    </row>
    <row r="68" spans="2:10" x14ac:dyDescent="0.2">
      <c r="B68" s="7" t="str">
        <f t="shared" ref="B68:B117" si="8">"#"&amp;ROW()-2</f>
        <v>#66</v>
      </c>
      <c r="C68" s="15">
        <v>56</v>
      </c>
      <c r="D68" s="15">
        <v>125</v>
      </c>
      <c r="E68" s="15">
        <v>114</v>
      </c>
      <c r="F68" s="15">
        <v>91</v>
      </c>
      <c r="G68" s="15">
        <v>311</v>
      </c>
      <c r="H68" s="32" t="s">
        <v>5</v>
      </c>
      <c r="I68" s="33">
        <v>56</v>
      </c>
      <c r="J68" s="15"/>
    </row>
    <row r="69" spans="2:10" x14ac:dyDescent="0.2">
      <c r="B69" s="7" t="str">
        <f t="shared" si="8"/>
        <v>#67</v>
      </c>
      <c r="C69" s="15">
        <v>52</v>
      </c>
      <c r="D69" s="15">
        <v>88</v>
      </c>
      <c r="E69" s="15">
        <v>96</v>
      </c>
      <c r="F69" s="15">
        <v>49</v>
      </c>
      <c r="G69" s="15">
        <v>299</v>
      </c>
      <c r="H69" s="32" t="s">
        <v>5</v>
      </c>
      <c r="I69" s="33">
        <v>52</v>
      </c>
      <c r="J69" s="15"/>
    </row>
    <row r="70" spans="2:10" x14ac:dyDescent="0.2">
      <c r="B70" s="7" t="str">
        <f t="shared" si="8"/>
        <v>#68</v>
      </c>
      <c r="C70" s="15">
        <v>37</v>
      </c>
      <c r="D70" s="15">
        <v>118</v>
      </c>
      <c r="E70" s="15">
        <v>55</v>
      </c>
      <c r="F70" s="15">
        <v>66</v>
      </c>
      <c r="G70" s="15">
        <v>275</v>
      </c>
      <c r="H70" s="32" t="s">
        <v>5</v>
      </c>
      <c r="I70" s="33">
        <v>37</v>
      </c>
      <c r="J70" s="15"/>
    </row>
    <row r="71" spans="2:10" x14ac:dyDescent="0.2">
      <c r="B71" s="7" t="str">
        <f t="shared" si="8"/>
        <v>#69</v>
      </c>
      <c r="C71" s="15">
        <v>76</v>
      </c>
      <c r="D71" s="15">
        <v>76</v>
      </c>
      <c r="E71" s="15">
        <v>99</v>
      </c>
      <c r="F71" s="15">
        <v>62</v>
      </c>
      <c r="G71" s="15">
        <v>267</v>
      </c>
      <c r="H71" s="32" t="s">
        <v>5</v>
      </c>
      <c r="I71" s="33">
        <v>76</v>
      </c>
      <c r="J71" s="15"/>
    </row>
    <row r="72" spans="2:10" x14ac:dyDescent="0.2">
      <c r="B72" s="7" t="str">
        <f t="shared" si="8"/>
        <v>#70</v>
      </c>
      <c r="C72" s="15">
        <v>52</v>
      </c>
      <c r="D72" s="15">
        <v>119</v>
      </c>
      <c r="E72" s="15">
        <v>68</v>
      </c>
      <c r="F72" s="15">
        <v>53</v>
      </c>
      <c r="G72" s="15">
        <v>299</v>
      </c>
      <c r="H72" s="32" t="s">
        <v>5</v>
      </c>
      <c r="I72" s="33">
        <v>52</v>
      </c>
      <c r="J72" s="15"/>
    </row>
    <row r="73" spans="2:10" ht="17.25" customHeight="1" x14ac:dyDescent="0.2">
      <c r="B73" s="7" t="str">
        <f t="shared" si="8"/>
        <v>#71</v>
      </c>
      <c r="C73" s="15">
        <v>28</v>
      </c>
      <c r="D73" s="15">
        <v>102</v>
      </c>
      <c r="E73" s="15">
        <v>62</v>
      </c>
      <c r="F73" s="15">
        <v>72</v>
      </c>
      <c r="G73" s="15">
        <v>286</v>
      </c>
      <c r="H73" s="32" t="s">
        <v>5</v>
      </c>
      <c r="I73" s="33">
        <v>28</v>
      </c>
      <c r="J73" s="15"/>
    </row>
    <row r="74" spans="2:10" x14ac:dyDescent="0.2">
      <c r="B74" s="7" t="str">
        <f t="shared" si="8"/>
        <v>#72</v>
      </c>
      <c r="C74" s="15">
        <v>44</v>
      </c>
      <c r="D74" s="15">
        <v>103</v>
      </c>
      <c r="E74" s="15">
        <v>45</v>
      </c>
      <c r="F74" s="15">
        <v>64</v>
      </c>
      <c r="G74" s="15">
        <v>252</v>
      </c>
      <c r="H74" s="32" t="s">
        <v>5</v>
      </c>
      <c r="I74" s="33">
        <v>44</v>
      </c>
      <c r="J74" s="15"/>
    </row>
    <row r="75" spans="2:10" x14ac:dyDescent="0.2">
      <c r="B75" s="7" t="str">
        <f t="shared" si="8"/>
        <v>#73</v>
      </c>
      <c r="C75" s="15">
        <v>62</v>
      </c>
      <c r="D75" s="15">
        <v>98</v>
      </c>
      <c r="E75" s="15">
        <v>65</v>
      </c>
      <c r="F75" s="15">
        <v>62</v>
      </c>
      <c r="G75" s="15">
        <v>261</v>
      </c>
      <c r="H75" s="32" t="s">
        <v>5</v>
      </c>
      <c r="I75" s="33">
        <v>62</v>
      </c>
      <c r="J75" s="15"/>
    </row>
    <row r="76" spans="2:10" x14ac:dyDescent="0.2">
      <c r="B76" s="7" t="str">
        <f t="shared" si="8"/>
        <v>#74</v>
      </c>
      <c r="C76" s="15">
        <v>41</v>
      </c>
      <c r="D76" s="15">
        <v>85</v>
      </c>
      <c r="E76" s="15">
        <v>70</v>
      </c>
      <c r="F76" s="15">
        <v>43</v>
      </c>
      <c r="G76" s="15">
        <v>245</v>
      </c>
      <c r="H76" s="32" t="s">
        <v>5</v>
      </c>
      <c r="I76" s="33">
        <v>41</v>
      </c>
      <c r="J76" s="15"/>
    </row>
    <row r="77" spans="2:10" x14ac:dyDescent="0.2">
      <c r="B77" s="7" t="str">
        <f t="shared" si="8"/>
        <v>#75</v>
      </c>
      <c r="C77" s="15">
        <v>14</v>
      </c>
      <c r="D77" s="15">
        <v>63</v>
      </c>
      <c r="E77" s="15">
        <v>23</v>
      </c>
      <c r="F77" s="15">
        <v>58</v>
      </c>
      <c r="G77" s="15">
        <v>261</v>
      </c>
      <c r="H77" s="32" t="s">
        <v>5</v>
      </c>
      <c r="I77" s="33">
        <v>14</v>
      </c>
      <c r="J77" s="15"/>
    </row>
    <row r="78" spans="2:10" x14ac:dyDescent="0.2">
      <c r="B78" s="7" t="str">
        <f t="shared" si="8"/>
        <v>#76</v>
      </c>
      <c r="C78" s="15">
        <v>44</v>
      </c>
      <c r="D78" s="15">
        <v>77</v>
      </c>
      <c r="E78" s="15">
        <v>66</v>
      </c>
      <c r="F78" s="15">
        <v>33</v>
      </c>
      <c r="G78" s="15">
        <v>223</v>
      </c>
      <c r="H78" s="32" t="s">
        <v>5</v>
      </c>
      <c r="I78" s="33">
        <v>44</v>
      </c>
      <c r="J78" s="15"/>
    </row>
    <row r="79" spans="2:10" x14ac:dyDescent="0.2">
      <c r="B79" s="7" t="str">
        <f t="shared" si="8"/>
        <v>#77</v>
      </c>
      <c r="C79" s="15">
        <v>39</v>
      </c>
      <c r="D79" s="15">
        <v>27</v>
      </c>
      <c r="E79" s="15">
        <v>35</v>
      </c>
      <c r="F79" s="15">
        <v>37</v>
      </c>
      <c r="G79" s="15">
        <v>258</v>
      </c>
      <c r="H79" s="32" t="s">
        <v>5</v>
      </c>
      <c r="I79" s="33">
        <v>39</v>
      </c>
      <c r="J79" s="15"/>
    </row>
    <row r="80" spans="2:10" x14ac:dyDescent="0.2">
      <c r="B80" s="7" t="str">
        <f t="shared" si="8"/>
        <v>#78</v>
      </c>
      <c r="C80" s="15">
        <v>2</v>
      </c>
      <c r="D80" s="15">
        <v>66</v>
      </c>
      <c r="E80" s="15">
        <v>36</v>
      </c>
      <c r="F80" s="15">
        <v>34</v>
      </c>
      <c r="G80" s="15">
        <v>244</v>
      </c>
      <c r="H80" s="32" t="s">
        <v>5</v>
      </c>
      <c r="I80" s="33">
        <v>2</v>
      </c>
      <c r="J80" s="15"/>
    </row>
    <row r="81" spans="2:10" x14ac:dyDescent="0.2">
      <c r="B81" s="7" t="str">
        <f t="shared" si="8"/>
        <v>#79</v>
      </c>
      <c r="C81" s="15">
        <v>34</v>
      </c>
      <c r="D81" s="15">
        <v>67</v>
      </c>
      <c r="E81" s="15">
        <v>49</v>
      </c>
      <c r="F81" s="15">
        <v>35</v>
      </c>
      <c r="G81" s="15">
        <v>239</v>
      </c>
      <c r="H81" s="32" t="s">
        <v>5</v>
      </c>
      <c r="I81" s="33">
        <v>34</v>
      </c>
      <c r="J81" s="15"/>
    </row>
    <row r="82" spans="2:10" x14ac:dyDescent="0.2">
      <c r="B82" s="7" t="str">
        <f t="shared" si="8"/>
        <v>#80</v>
      </c>
      <c r="C82" s="15">
        <v>2</v>
      </c>
      <c r="D82" s="15">
        <v>49</v>
      </c>
      <c r="E82" s="15">
        <v>38</v>
      </c>
      <c r="F82" s="15">
        <v>12</v>
      </c>
      <c r="G82" s="15">
        <v>206</v>
      </c>
      <c r="H82" s="32" t="s">
        <v>5</v>
      </c>
      <c r="I82" s="33">
        <v>2</v>
      </c>
      <c r="J82" s="15"/>
    </row>
    <row r="83" spans="2:10" x14ac:dyDescent="0.2">
      <c r="B83" s="7" t="str">
        <f t="shared" si="8"/>
        <v>#81</v>
      </c>
      <c r="C83" s="15">
        <v>265</v>
      </c>
      <c r="D83" s="15">
        <v>246</v>
      </c>
      <c r="E83" s="15">
        <v>312</v>
      </c>
      <c r="F83" s="15">
        <v>210</v>
      </c>
      <c r="G83" s="15">
        <v>465</v>
      </c>
      <c r="H83" s="32" t="s">
        <v>5</v>
      </c>
      <c r="I83" s="33">
        <v>265</v>
      </c>
      <c r="J83" s="15"/>
    </row>
    <row r="84" spans="2:10" x14ac:dyDescent="0.2">
      <c r="B84" s="7" t="str">
        <f t="shared" si="8"/>
        <v>#82</v>
      </c>
      <c r="C84" s="15">
        <v>267</v>
      </c>
      <c r="D84" s="15">
        <v>333</v>
      </c>
      <c r="E84" s="15">
        <v>273</v>
      </c>
      <c r="F84" s="15">
        <v>254</v>
      </c>
      <c r="G84" s="15">
        <v>503</v>
      </c>
      <c r="H84" s="32" t="s">
        <v>5</v>
      </c>
      <c r="I84" s="33">
        <v>267</v>
      </c>
      <c r="J84" s="15"/>
    </row>
    <row r="85" spans="2:10" x14ac:dyDescent="0.2">
      <c r="B85" s="7" t="str">
        <f t="shared" si="8"/>
        <v>#83</v>
      </c>
      <c r="C85" s="15">
        <v>312</v>
      </c>
      <c r="D85" s="15">
        <v>309</v>
      </c>
      <c r="E85" s="15">
        <v>280</v>
      </c>
      <c r="F85" s="15">
        <v>235</v>
      </c>
      <c r="G85" s="15">
        <v>476</v>
      </c>
      <c r="H85" s="32" t="s">
        <v>5</v>
      </c>
      <c r="I85" s="33">
        <v>312</v>
      </c>
      <c r="J85" s="15"/>
    </row>
    <row r="86" spans="2:10" x14ac:dyDescent="0.2">
      <c r="B86" s="7" t="str">
        <f t="shared" si="8"/>
        <v>#84</v>
      </c>
      <c r="C86" s="15">
        <v>305</v>
      </c>
      <c r="D86" s="15">
        <v>319</v>
      </c>
      <c r="E86" s="15">
        <v>301</v>
      </c>
      <c r="F86" s="15">
        <v>230</v>
      </c>
      <c r="G86" s="15">
        <v>471</v>
      </c>
      <c r="H86" s="32" t="s">
        <v>5</v>
      </c>
      <c r="I86" s="33">
        <v>305</v>
      </c>
      <c r="J86" s="15"/>
    </row>
    <row r="87" spans="2:10" x14ac:dyDescent="0.2">
      <c r="B87" s="7" t="str">
        <f t="shared" si="8"/>
        <v>#85</v>
      </c>
      <c r="C87" s="15">
        <v>218</v>
      </c>
      <c r="D87" s="15">
        <v>239</v>
      </c>
      <c r="E87" s="15">
        <v>257</v>
      </c>
      <c r="F87" s="15">
        <v>226</v>
      </c>
      <c r="G87" s="15">
        <v>470</v>
      </c>
      <c r="H87" s="32" t="s">
        <v>5</v>
      </c>
      <c r="I87" s="33">
        <v>218</v>
      </c>
      <c r="J87" s="15"/>
    </row>
    <row r="88" spans="2:10" x14ac:dyDescent="0.2">
      <c r="B88" s="7" t="str">
        <f t="shared" si="8"/>
        <v>#86</v>
      </c>
      <c r="C88" s="15">
        <v>210</v>
      </c>
      <c r="D88" s="15">
        <v>315</v>
      </c>
      <c r="E88" s="15">
        <v>264</v>
      </c>
      <c r="F88" s="15">
        <v>255</v>
      </c>
      <c r="G88" s="15">
        <v>481</v>
      </c>
      <c r="H88" s="32" t="s">
        <v>5</v>
      </c>
      <c r="I88" s="33">
        <v>210</v>
      </c>
      <c r="J88" s="15"/>
    </row>
    <row r="89" spans="2:10" x14ac:dyDescent="0.2">
      <c r="B89" s="7" t="str">
        <f t="shared" si="8"/>
        <v>#87</v>
      </c>
      <c r="C89" s="15">
        <v>193</v>
      </c>
      <c r="D89" s="15">
        <v>287</v>
      </c>
      <c r="E89" s="15">
        <v>226</v>
      </c>
      <c r="F89" s="15">
        <v>252</v>
      </c>
      <c r="G89" s="15">
        <v>434</v>
      </c>
      <c r="H89" s="32" t="s">
        <v>5</v>
      </c>
      <c r="I89" s="33">
        <v>193</v>
      </c>
      <c r="J89" s="15"/>
    </row>
    <row r="90" spans="2:10" x14ac:dyDescent="0.2">
      <c r="B90" s="7" t="str">
        <f t="shared" si="8"/>
        <v>#88</v>
      </c>
      <c r="C90" s="15">
        <v>193</v>
      </c>
      <c r="D90" s="15">
        <v>221</v>
      </c>
      <c r="E90" s="15">
        <v>262</v>
      </c>
      <c r="F90" s="15">
        <v>246</v>
      </c>
      <c r="G90" s="15">
        <v>459</v>
      </c>
      <c r="H90" s="32" t="s">
        <v>5</v>
      </c>
      <c r="I90" s="33">
        <v>193</v>
      </c>
      <c r="J90" s="15"/>
    </row>
    <row r="91" spans="2:10" x14ac:dyDescent="0.2">
      <c r="B91" s="7" t="str">
        <f t="shared" si="8"/>
        <v>#89</v>
      </c>
      <c r="C91" s="15">
        <v>245</v>
      </c>
      <c r="D91" s="15">
        <v>267</v>
      </c>
      <c r="E91" s="15">
        <v>246</v>
      </c>
      <c r="F91" s="15">
        <v>238</v>
      </c>
      <c r="G91" s="15">
        <v>448</v>
      </c>
      <c r="H91" s="32" t="s">
        <v>5</v>
      </c>
      <c r="I91" s="33">
        <v>245</v>
      </c>
      <c r="J91" s="15"/>
    </row>
    <row r="92" spans="2:10" x14ac:dyDescent="0.2">
      <c r="B92" s="7" t="str">
        <f t="shared" si="8"/>
        <v>#90</v>
      </c>
      <c r="C92" s="15">
        <v>183</v>
      </c>
      <c r="D92" s="15">
        <v>240</v>
      </c>
      <c r="E92" s="15">
        <v>180</v>
      </c>
      <c r="F92" s="15">
        <v>214</v>
      </c>
      <c r="G92" s="15">
        <v>470</v>
      </c>
      <c r="H92" s="32" t="s">
        <v>5</v>
      </c>
      <c r="I92" s="33">
        <v>183</v>
      </c>
      <c r="J92" s="15"/>
    </row>
    <row r="93" spans="2:10" x14ac:dyDescent="0.2">
      <c r="B93" s="7" t="str">
        <f t="shared" si="8"/>
        <v>#91</v>
      </c>
      <c r="C93" s="15">
        <v>173</v>
      </c>
      <c r="D93" s="15">
        <v>224</v>
      </c>
      <c r="E93" s="15">
        <v>231</v>
      </c>
      <c r="F93" s="15">
        <v>203</v>
      </c>
      <c r="G93" s="15">
        <v>409</v>
      </c>
      <c r="H93" s="32" t="s">
        <v>5</v>
      </c>
      <c r="I93" s="33">
        <v>173</v>
      </c>
      <c r="J93" s="15"/>
    </row>
    <row r="94" spans="2:10" x14ac:dyDescent="0.2">
      <c r="B94" s="7" t="str">
        <f t="shared" si="8"/>
        <v>#92</v>
      </c>
      <c r="C94" s="15">
        <v>153</v>
      </c>
      <c r="D94" s="15">
        <v>189</v>
      </c>
      <c r="E94" s="15">
        <v>229</v>
      </c>
      <c r="F94" s="15">
        <v>208</v>
      </c>
      <c r="G94" s="15">
        <v>423</v>
      </c>
      <c r="H94" s="32" t="s">
        <v>5</v>
      </c>
      <c r="I94" s="33">
        <v>153</v>
      </c>
      <c r="J94" s="15"/>
    </row>
    <row r="95" spans="2:10" x14ac:dyDescent="0.2">
      <c r="B95" s="7" t="str">
        <f t="shared" si="8"/>
        <v>#93</v>
      </c>
      <c r="C95" s="15">
        <v>195</v>
      </c>
      <c r="D95" s="15">
        <v>246</v>
      </c>
      <c r="E95" s="15">
        <v>187</v>
      </c>
      <c r="F95" s="15">
        <v>224</v>
      </c>
      <c r="G95" s="15">
        <v>412</v>
      </c>
      <c r="H95" s="32" t="s">
        <v>5</v>
      </c>
      <c r="I95" s="33">
        <v>195</v>
      </c>
      <c r="J95" s="15"/>
    </row>
    <row r="96" spans="2:10" x14ac:dyDescent="0.2">
      <c r="B96" s="7" t="str">
        <f t="shared" si="8"/>
        <v>#94</v>
      </c>
      <c r="C96" s="15">
        <v>161</v>
      </c>
      <c r="D96" s="15">
        <v>184</v>
      </c>
      <c r="E96" s="15">
        <v>204</v>
      </c>
      <c r="F96" s="15">
        <v>194</v>
      </c>
      <c r="G96" s="15">
        <v>336</v>
      </c>
      <c r="H96" s="32" t="s">
        <v>5</v>
      </c>
      <c r="I96" s="33">
        <v>161</v>
      </c>
      <c r="J96" s="15"/>
    </row>
    <row r="97" spans="2:10" x14ac:dyDescent="0.2">
      <c r="B97" s="7" t="str">
        <f t="shared" si="8"/>
        <v>#95</v>
      </c>
      <c r="C97" s="15">
        <v>148</v>
      </c>
      <c r="D97" s="15">
        <v>143</v>
      </c>
      <c r="E97" s="15">
        <v>155</v>
      </c>
      <c r="F97" s="15">
        <v>199</v>
      </c>
      <c r="G97" s="15">
        <v>374</v>
      </c>
      <c r="H97" s="32" t="s">
        <v>5</v>
      </c>
      <c r="I97" s="33">
        <v>148</v>
      </c>
      <c r="J97" s="15"/>
    </row>
    <row r="98" spans="2:10" x14ac:dyDescent="0.2">
      <c r="B98" s="7" t="str">
        <f t="shared" si="8"/>
        <v>#96</v>
      </c>
      <c r="C98" s="15">
        <v>154</v>
      </c>
      <c r="D98" s="15">
        <v>226</v>
      </c>
      <c r="E98" s="15">
        <v>189</v>
      </c>
      <c r="F98" s="15">
        <v>157</v>
      </c>
      <c r="G98" s="15">
        <v>385</v>
      </c>
      <c r="H98" s="32" t="s">
        <v>5</v>
      </c>
      <c r="I98" s="33">
        <v>154</v>
      </c>
      <c r="J98" s="15"/>
    </row>
    <row r="99" spans="2:10" x14ac:dyDescent="0.2">
      <c r="B99" s="7" t="str">
        <f t="shared" si="8"/>
        <v>#97</v>
      </c>
      <c r="C99" s="15">
        <v>119</v>
      </c>
      <c r="D99" s="15">
        <v>201</v>
      </c>
      <c r="E99" s="15">
        <v>176</v>
      </c>
      <c r="F99" s="15">
        <v>165</v>
      </c>
      <c r="G99" s="15">
        <v>342</v>
      </c>
      <c r="H99" s="32" t="s">
        <v>5</v>
      </c>
      <c r="I99" s="33">
        <v>119</v>
      </c>
      <c r="J99" s="15"/>
    </row>
    <row r="100" spans="2:10" x14ac:dyDescent="0.2">
      <c r="B100" s="7" t="str">
        <f t="shared" si="8"/>
        <v>#98</v>
      </c>
      <c r="C100" s="15">
        <v>116</v>
      </c>
      <c r="D100" s="15">
        <v>142</v>
      </c>
      <c r="E100" s="15">
        <v>149</v>
      </c>
      <c r="F100" s="15">
        <v>111</v>
      </c>
      <c r="G100" s="15">
        <v>340</v>
      </c>
      <c r="H100" s="32" t="s">
        <v>5</v>
      </c>
      <c r="I100" s="33">
        <v>116</v>
      </c>
      <c r="J100" s="15"/>
    </row>
    <row r="101" spans="2:10" x14ac:dyDescent="0.2">
      <c r="B101" s="7" t="str">
        <f t="shared" si="8"/>
        <v>#99</v>
      </c>
      <c r="C101" s="15">
        <v>144</v>
      </c>
      <c r="D101" s="15">
        <v>131</v>
      </c>
      <c r="E101" s="15">
        <v>158</v>
      </c>
      <c r="F101" s="15">
        <v>89</v>
      </c>
      <c r="G101" s="15">
        <v>333</v>
      </c>
      <c r="H101" s="32" t="s">
        <v>5</v>
      </c>
      <c r="I101" s="33">
        <v>144</v>
      </c>
      <c r="J101" s="15"/>
    </row>
    <row r="102" spans="2:10" x14ac:dyDescent="0.2">
      <c r="B102" s="7" t="str">
        <f t="shared" si="8"/>
        <v>#100</v>
      </c>
      <c r="C102" s="15">
        <v>149</v>
      </c>
      <c r="D102" s="15">
        <v>149</v>
      </c>
      <c r="E102" s="15">
        <v>128</v>
      </c>
      <c r="F102" s="15">
        <v>142</v>
      </c>
      <c r="G102" s="15">
        <v>319</v>
      </c>
      <c r="H102" s="32" t="s">
        <v>5</v>
      </c>
      <c r="I102" s="33">
        <v>149</v>
      </c>
      <c r="J102" s="15"/>
    </row>
    <row r="103" spans="2:10" x14ac:dyDescent="0.2">
      <c r="B103" s="7" t="str">
        <f t="shared" si="8"/>
        <v>#101</v>
      </c>
      <c r="C103" s="15">
        <v>110</v>
      </c>
      <c r="D103" s="15">
        <v>137</v>
      </c>
      <c r="E103" s="15">
        <v>117</v>
      </c>
      <c r="F103" s="15">
        <v>71</v>
      </c>
      <c r="G103" s="15">
        <v>301</v>
      </c>
      <c r="H103" s="32" t="s">
        <v>5</v>
      </c>
      <c r="I103" s="33">
        <v>110</v>
      </c>
      <c r="J103" s="15"/>
    </row>
    <row r="104" spans="2:10" x14ac:dyDescent="0.2">
      <c r="B104" s="7" t="str">
        <f t="shared" si="8"/>
        <v>#102</v>
      </c>
      <c r="C104" s="15">
        <v>75</v>
      </c>
      <c r="D104" s="15">
        <v>120</v>
      </c>
      <c r="E104" s="15">
        <v>127</v>
      </c>
      <c r="F104" s="15">
        <v>107</v>
      </c>
      <c r="G104" s="15">
        <v>314</v>
      </c>
      <c r="H104" s="32" t="s">
        <v>5</v>
      </c>
      <c r="I104" s="33">
        <v>75</v>
      </c>
      <c r="J104" s="15"/>
    </row>
    <row r="105" spans="2:10" x14ac:dyDescent="0.2">
      <c r="B105" s="7" t="str">
        <f t="shared" si="8"/>
        <v>#103</v>
      </c>
      <c r="C105" s="15">
        <v>70</v>
      </c>
      <c r="D105" s="15">
        <v>124</v>
      </c>
      <c r="E105" s="15">
        <v>112</v>
      </c>
      <c r="F105" s="15">
        <v>76</v>
      </c>
      <c r="G105" s="15">
        <v>313</v>
      </c>
      <c r="H105" s="32" t="s">
        <v>5</v>
      </c>
      <c r="I105" s="33">
        <v>70</v>
      </c>
      <c r="J105" s="15"/>
    </row>
    <row r="106" spans="2:10" x14ac:dyDescent="0.2">
      <c r="B106" s="7" t="str">
        <f t="shared" si="8"/>
        <v>#104</v>
      </c>
      <c r="C106" s="15">
        <v>87</v>
      </c>
      <c r="D106" s="15">
        <v>147</v>
      </c>
      <c r="E106" s="15">
        <v>63</v>
      </c>
      <c r="F106" s="15">
        <v>134</v>
      </c>
      <c r="G106" s="15">
        <v>357</v>
      </c>
      <c r="H106" s="32" t="s">
        <v>5</v>
      </c>
      <c r="I106" s="33">
        <v>87</v>
      </c>
      <c r="J106" s="15"/>
    </row>
    <row r="107" spans="2:10" x14ac:dyDescent="0.2">
      <c r="B107" s="7" t="str">
        <f t="shared" si="8"/>
        <v>#105</v>
      </c>
      <c r="C107" s="15">
        <v>27</v>
      </c>
      <c r="D107" s="15">
        <v>145</v>
      </c>
      <c r="E107" s="15">
        <v>120</v>
      </c>
      <c r="F107" s="15">
        <v>88</v>
      </c>
      <c r="G107" s="15">
        <v>297</v>
      </c>
      <c r="H107" s="32" t="s">
        <v>5</v>
      </c>
      <c r="I107" s="33">
        <v>27</v>
      </c>
      <c r="J107" s="15"/>
    </row>
    <row r="108" spans="2:10" x14ac:dyDescent="0.2">
      <c r="B108" s="7" t="str">
        <f t="shared" si="8"/>
        <v>#106</v>
      </c>
      <c r="C108" s="15">
        <v>32</v>
      </c>
      <c r="D108" s="15">
        <v>153</v>
      </c>
      <c r="E108" s="15">
        <v>140</v>
      </c>
      <c r="F108" s="15">
        <v>71</v>
      </c>
      <c r="G108" s="15">
        <v>326</v>
      </c>
      <c r="H108" s="32" t="s">
        <v>5</v>
      </c>
      <c r="I108" s="33">
        <v>32</v>
      </c>
      <c r="J108" s="15"/>
    </row>
    <row r="109" spans="2:10" x14ac:dyDescent="0.2">
      <c r="B109" s="7" t="str">
        <f t="shared" si="8"/>
        <v>#107</v>
      </c>
      <c r="C109" s="15">
        <v>60</v>
      </c>
      <c r="D109" s="15">
        <v>75</v>
      </c>
      <c r="E109" s="15">
        <v>86</v>
      </c>
      <c r="F109" s="15">
        <v>25</v>
      </c>
      <c r="G109" s="15">
        <v>312</v>
      </c>
      <c r="H109" s="32" t="s">
        <v>5</v>
      </c>
      <c r="I109" s="33">
        <v>60</v>
      </c>
      <c r="J109" s="15"/>
    </row>
    <row r="110" spans="2:10" x14ac:dyDescent="0.2">
      <c r="B110" s="7" t="str">
        <f t="shared" si="8"/>
        <v>#108</v>
      </c>
      <c r="C110" s="15">
        <v>47</v>
      </c>
      <c r="D110" s="15">
        <v>98</v>
      </c>
      <c r="E110" s="15">
        <v>29</v>
      </c>
      <c r="F110" s="15">
        <v>87</v>
      </c>
      <c r="G110" s="15">
        <v>246</v>
      </c>
      <c r="H110" s="32" t="s">
        <v>5</v>
      </c>
      <c r="I110" s="33">
        <v>47</v>
      </c>
      <c r="J110" s="15"/>
    </row>
    <row r="111" spans="2:10" x14ac:dyDescent="0.2">
      <c r="B111" s="7" t="str">
        <f t="shared" si="8"/>
        <v>#109</v>
      </c>
      <c r="C111" s="15">
        <v>68</v>
      </c>
      <c r="D111" s="15">
        <v>82</v>
      </c>
      <c r="E111" s="15">
        <v>107</v>
      </c>
      <c r="F111" s="15">
        <v>51</v>
      </c>
      <c r="G111" s="15">
        <v>251</v>
      </c>
      <c r="H111" s="32" t="s">
        <v>5</v>
      </c>
      <c r="I111" s="33">
        <v>68</v>
      </c>
      <c r="J111" s="15"/>
    </row>
    <row r="112" spans="2:10" x14ac:dyDescent="0.2">
      <c r="B112" s="7" t="str">
        <f t="shared" si="8"/>
        <v>#110</v>
      </c>
      <c r="C112" s="15">
        <v>62</v>
      </c>
      <c r="D112" s="15">
        <v>139</v>
      </c>
      <c r="E112" s="15">
        <v>41</v>
      </c>
      <c r="F112" s="15">
        <v>80</v>
      </c>
      <c r="G112" s="15">
        <v>298</v>
      </c>
      <c r="H112" s="32" t="s">
        <v>5</v>
      </c>
      <c r="I112" s="33">
        <v>62</v>
      </c>
      <c r="J112" s="15"/>
    </row>
    <row r="113" spans="2:10" x14ac:dyDescent="0.2">
      <c r="B113" s="7" t="str">
        <f t="shared" si="8"/>
        <v>#111</v>
      </c>
      <c r="C113" s="15">
        <v>15</v>
      </c>
      <c r="D113" s="15">
        <v>95</v>
      </c>
      <c r="E113" s="15">
        <v>67</v>
      </c>
      <c r="F113" s="15">
        <v>68</v>
      </c>
      <c r="G113" s="15">
        <v>306</v>
      </c>
      <c r="H113" s="32" t="s">
        <v>5</v>
      </c>
      <c r="I113" s="33">
        <v>15</v>
      </c>
      <c r="J113" s="15"/>
    </row>
    <row r="114" spans="2:10" x14ac:dyDescent="0.2">
      <c r="B114" s="7" t="str">
        <f t="shared" si="8"/>
        <v>#112</v>
      </c>
      <c r="C114" s="15">
        <v>26</v>
      </c>
      <c r="D114" s="15">
        <v>124</v>
      </c>
      <c r="E114" s="15">
        <v>35</v>
      </c>
      <c r="F114" s="15">
        <v>89</v>
      </c>
      <c r="G114" s="15">
        <v>264</v>
      </c>
      <c r="H114" s="32" t="s">
        <v>5</v>
      </c>
      <c r="I114" s="33">
        <v>26</v>
      </c>
      <c r="J114" s="15"/>
    </row>
    <row r="115" spans="2:10" x14ac:dyDescent="0.2">
      <c r="B115" s="7" t="str">
        <f t="shared" si="8"/>
        <v>#113</v>
      </c>
      <c r="C115" s="15">
        <v>35</v>
      </c>
      <c r="D115" s="15">
        <v>91</v>
      </c>
      <c r="E115" s="15">
        <v>40</v>
      </c>
      <c r="F115" s="15">
        <v>84</v>
      </c>
      <c r="G115" s="15">
        <v>245</v>
      </c>
      <c r="H115" s="32" t="s">
        <v>5</v>
      </c>
      <c r="I115" s="33">
        <v>35</v>
      </c>
      <c r="J115" s="15"/>
    </row>
    <row r="116" spans="2:10" x14ac:dyDescent="0.2">
      <c r="B116" s="7" t="str">
        <f t="shared" si="8"/>
        <v>#114</v>
      </c>
      <c r="C116" s="15">
        <v>25</v>
      </c>
      <c r="D116" s="15">
        <v>80</v>
      </c>
      <c r="E116" s="15">
        <v>66</v>
      </c>
      <c r="F116" s="15">
        <v>19</v>
      </c>
      <c r="G116" s="15">
        <v>243</v>
      </c>
      <c r="H116" s="32" t="s">
        <v>5</v>
      </c>
      <c r="I116" s="33">
        <v>25</v>
      </c>
      <c r="J116" s="15"/>
    </row>
    <row r="117" spans="2:10" x14ac:dyDescent="0.2">
      <c r="B117" s="7" t="str">
        <f t="shared" si="8"/>
        <v>#115</v>
      </c>
      <c r="C117" s="15">
        <v>42</v>
      </c>
      <c r="D117" s="15">
        <v>63</v>
      </c>
      <c r="E117" s="15">
        <v>23</v>
      </c>
      <c r="F117" s="15">
        <v>81</v>
      </c>
      <c r="G117" s="15">
        <v>235</v>
      </c>
      <c r="H117" s="32" t="s">
        <v>5</v>
      </c>
      <c r="I117" s="33">
        <v>42</v>
      </c>
      <c r="J117" s="15"/>
    </row>
    <row r="118" spans="2:10" x14ac:dyDescent="0.2">
      <c r="H118" s="32" t="s">
        <v>6</v>
      </c>
      <c r="I118" s="6">
        <v>250</v>
      </c>
      <c r="J118" s="27"/>
    </row>
    <row r="119" spans="2:10" x14ac:dyDescent="0.2">
      <c r="H119" s="32" t="s">
        <v>6</v>
      </c>
      <c r="I119" s="5">
        <v>300</v>
      </c>
      <c r="J119" s="2"/>
    </row>
    <row r="120" spans="2:10" x14ac:dyDescent="0.2">
      <c r="H120" s="32" t="s">
        <v>6</v>
      </c>
      <c r="I120" s="5">
        <v>310</v>
      </c>
      <c r="J120" s="2"/>
    </row>
    <row r="121" spans="2:10" x14ac:dyDescent="0.2">
      <c r="H121" s="32" t="s">
        <v>6</v>
      </c>
      <c r="I121" s="5">
        <v>300</v>
      </c>
      <c r="J121" s="2"/>
    </row>
    <row r="122" spans="2:10" x14ac:dyDescent="0.2">
      <c r="H122" s="32" t="s">
        <v>6</v>
      </c>
      <c r="I122" s="5">
        <v>290</v>
      </c>
      <c r="J122" s="2"/>
    </row>
    <row r="123" spans="2:10" x14ac:dyDescent="0.2">
      <c r="H123" s="32" t="s">
        <v>6</v>
      </c>
      <c r="I123" s="5">
        <v>280</v>
      </c>
      <c r="J123" s="2"/>
    </row>
    <row r="124" spans="2:10" x14ac:dyDescent="0.2">
      <c r="H124" s="32" t="s">
        <v>6</v>
      </c>
      <c r="I124" s="5">
        <v>270</v>
      </c>
      <c r="J124" s="2"/>
    </row>
    <row r="125" spans="2:10" x14ac:dyDescent="0.2">
      <c r="H125" s="32" t="s">
        <v>6</v>
      </c>
      <c r="I125" s="5">
        <v>260</v>
      </c>
      <c r="J125" s="2"/>
    </row>
    <row r="126" spans="2:10" x14ac:dyDescent="0.2">
      <c r="H126" s="32" t="s">
        <v>6</v>
      </c>
      <c r="I126" s="5">
        <v>250</v>
      </c>
      <c r="J126" s="2"/>
    </row>
    <row r="127" spans="2:10" x14ac:dyDescent="0.2">
      <c r="H127" s="32" t="s">
        <v>6</v>
      </c>
      <c r="I127" s="5">
        <v>240</v>
      </c>
      <c r="J127" s="2"/>
    </row>
    <row r="128" spans="2:10" x14ac:dyDescent="0.2">
      <c r="H128" s="32" t="s">
        <v>6</v>
      </c>
      <c r="I128" s="5">
        <v>230</v>
      </c>
      <c r="J128" s="2"/>
    </row>
    <row r="129" spans="8:10" x14ac:dyDescent="0.2">
      <c r="H129" s="32" t="s">
        <v>6</v>
      </c>
      <c r="I129" s="5">
        <v>220</v>
      </c>
      <c r="J129" s="2"/>
    </row>
    <row r="130" spans="8:10" x14ac:dyDescent="0.2">
      <c r="H130" s="32" t="s">
        <v>6</v>
      </c>
      <c r="I130" s="5">
        <v>210</v>
      </c>
      <c r="J130" s="2"/>
    </row>
    <row r="131" spans="8:10" x14ac:dyDescent="0.2">
      <c r="H131" s="32" t="s">
        <v>6</v>
      </c>
      <c r="I131" s="5">
        <v>200</v>
      </c>
      <c r="J131" s="2"/>
    </row>
    <row r="132" spans="8:10" x14ac:dyDescent="0.2">
      <c r="H132" s="32" t="s">
        <v>6</v>
      </c>
      <c r="I132" s="5">
        <v>190</v>
      </c>
      <c r="J132" s="2"/>
    </row>
    <row r="133" spans="8:10" x14ac:dyDescent="0.2">
      <c r="H133" s="32" t="s">
        <v>6</v>
      </c>
      <c r="I133" s="5">
        <v>180</v>
      </c>
      <c r="J133" s="2"/>
    </row>
    <row r="134" spans="8:10" x14ac:dyDescent="0.2">
      <c r="H134" s="32" t="s">
        <v>6</v>
      </c>
      <c r="I134" s="5">
        <v>170</v>
      </c>
      <c r="J134" s="2"/>
    </row>
    <row r="135" spans="8:10" x14ac:dyDescent="0.2">
      <c r="H135" s="32" t="s">
        <v>6</v>
      </c>
      <c r="I135" s="5">
        <v>160</v>
      </c>
      <c r="J135" s="2"/>
    </row>
    <row r="136" spans="8:10" x14ac:dyDescent="0.2">
      <c r="H136" s="32" t="s">
        <v>6</v>
      </c>
      <c r="I136" s="5">
        <v>150</v>
      </c>
      <c r="J136" s="2"/>
    </row>
    <row r="137" spans="8:10" x14ac:dyDescent="0.2">
      <c r="H137" s="32" t="s">
        <v>6</v>
      </c>
      <c r="I137" s="5">
        <v>140</v>
      </c>
      <c r="J137" s="2"/>
    </row>
    <row r="138" spans="8:10" x14ac:dyDescent="0.2">
      <c r="H138" s="32" t="s">
        <v>6</v>
      </c>
      <c r="I138" s="5">
        <v>135</v>
      </c>
    </row>
    <row r="139" spans="8:10" x14ac:dyDescent="0.2">
      <c r="H139" s="32" t="s">
        <v>6</v>
      </c>
      <c r="I139" s="5">
        <v>130</v>
      </c>
    </row>
    <row r="140" spans="8:10" x14ac:dyDescent="0.2">
      <c r="H140" s="32" t="s">
        <v>6</v>
      </c>
      <c r="I140" s="5">
        <v>125</v>
      </c>
    </row>
    <row r="141" spans="8:10" x14ac:dyDescent="0.2">
      <c r="H141" s="32" t="s">
        <v>6</v>
      </c>
      <c r="I141" s="5">
        <v>120</v>
      </c>
    </row>
    <row r="142" spans="8:10" x14ac:dyDescent="0.2">
      <c r="H142" s="32" t="s">
        <v>6</v>
      </c>
      <c r="I142" s="5">
        <v>115</v>
      </c>
    </row>
    <row r="143" spans="8:10" x14ac:dyDescent="0.2">
      <c r="H143" s="32" t="s">
        <v>6</v>
      </c>
      <c r="I143" s="5">
        <v>110</v>
      </c>
    </row>
    <row r="144" spans="8:10" x14ac:dyDescent="0.2">
      <c r="H144" s="32" t="s">
        <v>6</v>
      </c>
      <c r="I144" s="5">
        <v>105</v>
      </c>
    </row>
    <row r="145" spans="8:10" x14ac:dyDescent="0.2">
      <c r="H145" s="32" t="s">
        <v>6</v>
      </c>
      <c r="I145" s="5">
        <v>100</v>
      </c>
    </row>
    <row r="146" spans="8:10" x14ac:dyDescent="0.2">
      <c r="H146" s="32" t="s">
        <v>6</v>
      </c>
      <c r="I146" s="5">
        <v>95</v>
      </c>
    </row>
    <row r="147" spans="8:10" x14ac:dyDescent="0.2">
      <c r="H147" s="32" t="s">
        <v>6</v>
      </c>
      <c r="I147" s="5">
        <v>90</v>
      </c>
    </row>
    <row r="148" spans="8:10" x14ac:dyDescent="0.2">
      <c r="H148" s="32" t="s">
        <v>6</v>
      </c>
      <c r="I148" s="5">
        <v>85</v>
      </c>
    </row>
    <row r="149" spans="8:10" x14ac:dyDescent="0.2">
      <c r="H149" s="32" t="s">
        <v>6</v>
      </c>
      <c r="I149" s="5">
        <v>80</v>
      </c>
    </row>
    <row r="150" spans="8:10" x14ac:dyDescent="0.2">
      <c r="H150" s="32" t="s">
        <v>6</v>
      </c>
      <c r="I150" s="5">
        <v>75</v>
      </c>
    </row>
    <row r="151" spans="8:10" x14ac:dyDescent="0.2">
      <c r="H151" s="32" t="s">
        <v>6</v>
      </c>
      <c r="I151" s="5">
        <v>70</v>
      </c>
    </row>
    <row r="152" spans="8:10" x14ac:dyDescent="0.2">
      <c r="H152" s="32" t="s">
        <v>6</v>
      </c>
      <c r="I152" s="5">
        <v>65</v>
      </c>
    </row>
    <row r="153" spans="8:10" x14ac:dyDescent="0.2">
      <c r="H153" s="32" t="s">
        <v>6</v>
      </c>
      <c r="I153" s="5">
        <v>60</v>
      </c>
    </row>
    <row r="154" spans="8:10" x14ac:dyDescent="0.2">
      <c r="H154" s="32" t="s">
        <v>6</v>
      </c>
      <c r="I154" s="5">
        <v>55</v>
      </c>
    </row>
    <row r="155" spans="8:10" x14ac:dyDescent="0.2">
      <c r="H155" s="32" t="s">
        <v>6</v>
      </c>
      <c r="I155" s="5">
        <v>50</v>
      </c>
    </row>
    <row r="156" spans="8:10" x14ac:dyDescent="0.2">
      <c r="H156" s="32" t="s">
        <v>6</v>
      </c>
      <c r="I156" s="34">
        <v>45</v>
      </c>
      <c r="J156" s="28"/>
    </row>
    <row r="157" spans="8:10" x14ac:dyDescent="0.2">
      <c r="H157" s="32" t="s">
        <v>6</v>
      </c>
      <c r="I157" s="5">
        <v>40</v>
      </c>
    </row>
    <row r="158" spans="8:10" x14ac:dyDescent="0.2">
      <c r="H158" s="32" t="s">
        <v>6</v>
      </c>
      <c r="I158" s="33">
        <v>226</v>
      </c>
      <c r="J158" s="15"/>
    </row>
    <row r="159" spans="8:10" x14ac:dyDescent="0.2">
      <c r="H159" s="32" t="s">
        <v>6</v>
      </c>
      <c r="I159" s="33">
        <v>307</v>
      </c>
      <c r="J159" s="15"/>
    </row>
    <row r="160" spans="8:10" x14ac:dyDescent="0.2">
      <c r="H160" s="32" t="s">
        <v>6</v>
      </c>
      <c r="I160" s="33">
        <v>322</v>
      </c>
      <c r="J160" s="15"/>
    </row>
    <row r="161" spans="8:10" x14ac:dyDescent="0.2">
      <c r="H161" s="32" t="s">
        <v>6</v>
      </c>
      <c r="I161" s="33">
        <v>298</v>
      </c>
      <c r="J161" s="15"/>
    </row>
    <row r="162" spans="8:10" x14ac:dyDescent="0.2">
      <c r="H162" s="32" t="s">
        <v>6</v>
      </c>
      <c r="I162" s="33">
        <v>264</v>
      </c>
      <c r="J162" s="15"/>
    </row>
    <row r="163" spans="8:10" x14ac:dyDescent="0.2">
      <c r="H163" s="32" t="s">
        <v>6</v>
      </c>
      <c r="I163" s="33">
        <v>288</v>
      </c>
      <c r="J163" s="15"/>
    </row>
    <row r="164" spans="8:10" x14ac:dyDescent="0.2">
      <c r="H164" s="32" t="s">
        <v>6</v>
      </c>
      <c r="I164" s="33">
        <v>290</v>
      </c>
      <c r="J164" s="15"/>
    </row>
    <row r="165" spans="8:10" x14ac:dyDescent="0.2">
      <c r="H165" s="32" t="s">
        <v>6</v>
      </c>
      <c r="I165" s="33">
        <v>246</v>
      </c>
      <c r="J165" s="15"/>
    </row>
    <row r="166" spans="8:10" x14ac:dyDescent="0.2">
      <c r="H166" s="32" t="s">
        <v>6</v>
      </c>
      <c r="I166" s="33">
        <v>240</v>
      </c>
      <c r="J166" s="15"/>
    </row>
    <row r="167" spans="8:10" x14ac:dyDescent="0.2">
      <c r="H167" s="32" t="s">
        <v>6</v>
      </c>
      <c r="I167" s="33">
        <v>212</v>
      </c>
      <c r="J167" s="15"/>
    </row>
    <row r="168" spans="8:10" x14ac:dyDescent="0.2">
      <c r="H168" s="32" t="s">
        <v>6</v>
      </c>
      <c r="I168" s="33">
        <v>218</v>
      </c>
      <c r="J168" s="15"/>
    </row>
    <row r="169" spans="8:10" x14ac:dyDescent="0.2">
      <c r="H169" s="32" t="s">
        <v>6</v>
      </c>
      <c r="I169" s="33">
        <v>211</v>
      </c>
      <c r="J169" s="15"/>
    </row>
    <row r="170" spans="8:10" x14ac:dyDescent="0.2">
      <c r="H170" s="32" t="s">
        <v>6</v>
      </c>
      <c r="I170" s="33">
        <v>229</v>
      </c>
      <c r="J170" s="15"/>
    </row>
    <row r="171" spans="8:10" x14ac:dyDescent="0.2">
      <c r="H171" s="32" t="s">
        <v>6</v>
      </c>
      <c r="I171" s="33">
        <v>189</v>
      </c>
      <c r="J171" s="15"/>
    </row>
    <row r="172" spans="8:10" x14ac:dyDescent="0.2">
      <c r="H172" s="32" t="s">
        <v>6</v>
      </c>
      <c r="I172" s="33">
        <v>169</v>
      </c>
      <c r="J172" s="15"/>
    </row>
    <row r="173" spans="8:10" x14ac:dyDescent="0.2">
      <c r="H173" s="32" t="s">
        <v>6</v>
      </c>
      <c r="I173" s="33">
        <v>199</v>
      </c>
      <c r="J173" s="15"/>
    </row>
    <row r="174" spans="8:10" x14ac:dyDescent="0.2">
      <c r="H174" s="32" t="s">
        <v>6</v>
      </c>
      <c r="I174" s="33">
        <v>175</v>
      </c>
      <c r="J174" s="15"/>
    </row>
    <row r="175" spans="8:10" x14ac:dyDescent="0.2">
      <c r="H175" s="32" t="s">
        <v>6</v>
      </c>
      <c r="I175" s="33">
        <v>146</v>
      </c>
      <c r="J175" s="15"/>
    </row>
    <row r="176" spans="8:10" x14ac:dyDescent="0.2">
      <c r="H176" s="32" t="s">
        <v>6</v>
      </c>
      <c r="I176" s="33">
        <v>124</v>
      </c>
      <c r="J176" s="15"/>
    </row>
    <row r="177" spans="8:10" x14ac:dyDescent="0.2">
      <c r="H177" s="32" t="s">
        <v>6</v>
      </c>
      <c r="I177" s="33">
        <v>162</v>
      </c>
      <c r="J177" s="15"/>
    </row>
    <row r="178" spans="8:10" x14ac:dyDescent="0.2">
      <c r="H178" s="32" t="s">
        <v>6</v>
      </c>
      <c r="I178" s="33">
        <v>140</v>
      </c>
      <c r="J178" s="15"/>
    </row>
    <row r="179" spans="8:10" x14ac:dyDescent="0.2">
      <c r="H179" s="32" t="s">
        <v>6</v>
      </c>
      <c r="I179" s="33">
        <v>140</v>
      </c>
      <c r="J179" s="15"/>
    </row>
    <row r="180" spans="8:10" x14ac:dyDescent="0.2">
      <c r="H180" s="32" t="s">
        <v>6</v>
      </c>
      <c r="I180" s="33">
        <v>95</v>
      </c>
      <c r="J180" s="15"/>
    </row>
    <row r="181" spans="8:10" x14ac:dyDescent="0.2">
      <c r="H181" s="32" t="s">
        <v>6</v>
      </c>
      <c r="I181" s="33">
        <v>122</v>
      </c>
      <c r="J181" s="15"/>
    </row>
    <row r="182" spans="8:10" x14ac:dyDescent="0.2">
      <c r="H182" s="32" t="s">
        <v>6</v>
      </c>
      <c r="I182" s="33">
        <v>122</v>
      </c>
      <c r="J182" s="15"/>
    </row>
    <row r="183" spans="8:10" x14ac:dyDescent="0.2">
      <c r="H183" s="32" t="s">
        <v>6</v>
      </c>
      <c r="I183" s="33">
        <v>125</v>
      </c>
      <c r="J183" s="15"/>
    </row>
    <row r="184" spans="8:10" x14ac:dyDescent="0.2">
      <c r="H184" s="32" t="s">
        <v>6</v>
      </c>
      <c r="I184" s="33">
        <v>88</v>
      </c>
      <c r="J184" s="15"/>
    </row>
    <row r="185" spans="8:10" x14ac:dyDescent="0.2">
      <c r="H185" s="32" t="s">
        <v>6</v>
      </c>
      <c r="I185" s="33">
        <v>118</v>
      </c>
      <c r="J185" s="15"/>
    </row>
    <row r="186" spans="8:10" x14ac:dyDescent="0.2">
      <c r="H186" s="32" t="s">
        <v>6</v>
      </c>
      <c r="I186" s="33">
        <v>76</v>
      </c>
      <c r="J186" s="15"/>
    </row>
    <row r="187" spans="8:10" x14ac:dyDescent="0.2">
      <c r="H187" s="32" t="s">
        <v>6</v>
      </c>
      <c r="I187" s="33">
        <v>119</v>
      </c>
      <c r="J187" s="15"/>
    </row>
    <row r="188" spans="8:10" x14ac:dyDescent="0.2">
      <c r="H188" s="32" t="s">
        <v>6</v>
      </c>
      <c r="I188" s="33">
        <v>102</v>
      </c>
      <c r="J188" s="15"/>
    </row>
    <row r="189" spans="8:10" x14ac:dyDescent="0.2">
      <c r="H189" s="32" t="s">
        <v>6</v>
      </c>
      <c r="I189" s="33">
        <v>103</v>
      </c>
      <c r="J189" s="15"/>
    </row>
    <row r="190" spans="8:10" x14ac:dyDescent="0.2">
      <c r="H190" s="32" t="s">
        <v>6</v>
      </c>
      <c r="I190" s="33">
        <v>98</v>
      </c>
      <c r="J190" s="15"/>
    </row>
    <row r="191" spans="8:10" x14ac:dyDescent="0.2">
      <c r="H191" s="32" t="s">
        <v>6</v>
      </c>
      <c r="I191" s="33">
        <v>85</v>
      </c>
      <c r="J191" s="15"/>
    </row>
    <row r="192" spans="8:10" x14ac:dyDescent="0.2">
      <c r="H192" s="32" t="s">
        <v>6</v>
      </c>
      <c r="I192" s="33">
        <v>63</v>
      </c>
      <c r="J192" s="15"/>
    </row>
    <row r="193" spans="8:10" x14ac:dyDescent="0.2">
      <c r="H193" s="32" t="s">
        <v>6</v>
      </c>
      <c r="I193" s="33">
        <v>77</v>
      </c>
      <c r="J193" s="15"/>
    </row>
    <row r="194" spans="8:10" x14ac:dyDescent="0.2">
      <c r="H194" s="32" t="s">
        <v>6</v>
      </c>
      <c r="I194" s="33">
        <v>27</v>
      </c>
      <c r="J194" s="15"/>
    </row>
    <row r="195" spans="8:10" x14ac:dyDescent="0.2">
      <c r="H195" s="32" t="s">
        <v>6</v>
      </c>
      <c r="I195" s="33">
        <v>66</v>
      </c>
      <c r="J195" s="15"/>
    </row>
    <row r="196" spans="8:10" x14ac:dyDescent="0.2">
      <c r="H196" s="32" t="s">
        <v>6</v>
      </c>
      <c r="I196" s="33">
        <v>67</v>
      </c>
      <c r="J196" s="15"/>
    </row>
    <row r="197" spans="8:10" x14ac:dyDescent="0.2">
      <c r="H197" s="32" t="s">
        <v>6</v>
      </c>
      <c r="I197" s="33">
        <v>49</v>
      </c>
      <c r="J197" s="15"/>
    </row>
    <row r="198" spans="8:10" x14ac:dyDescent="0.2">
      <c r="H198" s="32" t="s">
        <v>6</v>
      </c>
      <c r="I198" s="33">
        <v>246</v>
      </c>
      <c r="J198" s="15"/>
    </row>
    <row r="199" spans="8:10" x14ac:dyDescent="0.2">
      <c r="H199" s="32" t="s">
        <v>6</v>
      </c>
      <c r="I199" s="33">
        <v>333</v>
      </c>
      <c r="J199" s="15"/>
    </row>
    <row r="200" spans="8:10" x14ac:dyDescent="0.2">
      <c r="H200" s="32" t="s">
        <v>6</v>
      </c>
      <c r="I200" s="33">
        <v>309</v>
      </c>
      <c r="J200" s="15"/>
    </row>
    <row r="201" spans="8:10" x14ac:dyDescent="0.2">
      <c r="H201" s="32" t="s">
        <v>6</v>
      </c>
      <c r="I201" s="33">
        <v>319</v>
      </c>
      <c r="J201" s="15"/>
    </row>
    <row r="202" spans="8:10" x14ac:dyDescent="0.2">
      <c r="H202" s="32" t="s">
        <v>6</v>
      </c>
      <c r="I202" s="33">
        <v>239</v>
      </c>
      <c r="J202" s="15"/>
    </row>
    <row r="203" spans="8:10" x14ac:dyDescent="0.2">
      <c r="H203" s="32" t="s">
        <v>6</v>
      </c>
      <c r="I203" s="33">
        <v>315</v>
      </c>
      <c r="J203" s="15"/>
    </row>
    <row r="204" spans="8:10" x14ac:dyDescent="0.2">
      <c r="H204" s="32" t="s">
        <v>6</v>
      </c>
      <c r="I204" s="33">
        <v>287</v>
      </c>
      <c r="J204" s="15"/>
    </row>
    <row r="205" spans="8:10" x14ac:dyDescent="0.2">
      <c r="H205" s="32" t="s">
        <v>6</v>
      </c>
      <c r="I205" s="33">
        <v>221</v>
      </c>
      <c r="J205" s="15"/>
    </row>
    <row r="206" spans="8:10" x14ac:dyDescent="0.2">
      <c r="H206" s="32" t="s">
        <v>6</v>
      </c>
      <c r="I206" s="33">
        <v>267</v>
      </c>
      <c r="J206" s="15"/>
    </row>
    <row r="207" spans="8:10" x14ac:dyDescent="0.2">
      <c r="H207" s="32" t="s">
        <v>6</v>
      </c>
      <c r="I207" s="33">
        <v>240</v>
      </c>
      <c r="J207" s="15"/>
    </row>
    <row r="208" spans="8:10" x14ac:dyDescent="0.2">
      <c r="H208" s="32" t="s">
        <v>6</v>
      </c>
      <c r="I208" s="33">
        <v>224</v>
      </c>
      <c r="J208" s="15"/>
    </row>
    <row r="209" spans="8:10" x14ac:dyDescent="0.2">
      <c r="H209" s="32" t="s">
        <v>6</v>
      </c>
      <c r="I209" s="33">
        <v>189</v>
      </c>
      <c r="J209" s="15"/>
    </row>
    <row r="210" spans="8:10" x14ac:dyDescent="0.2">
      <c r="H210" s="32" t="s">
        <v>6</v>
      </c>
      <c r="I210" s="33">
        <v>246</v>
      </c>
      <c r="J210" s="15"/>
    </row>
    <row r="211" spans="8:10" x14ac:dyDescent="0.2">
      <c r="H211" s="32" t="s">
        <v>6</v>
      </c>
      <c r="I211" s="33">
        <v>184</v>
      </c>
      <c r="J211" s="15"/>
    </row>
    <row r="212" spans="8:10" x14ac:dyDescent="0.2">
      <c r="H212" s="32" t="s">
        <v>6</v>
      </c>
      <c r="I212" s="33">
        <v>143</v>
      </c>
      <c r="J212" s="15"/>
    </row>
    <row r="213" spans="8:10" x14ac:dyDescent="0.2">
      <c r="H213" s="32" t="s">
        <v>6</v>
      </c>
      <c r="I213" s="33">
        <v>226</v>
      </c>
      <c r="J213" s="15"/>
    </row>
    <row r="214" spans="8:10" x14ac:dyDescent="0.2">
      <c r="H214" s="32" t="s">
        <v>6</v>
      </c>
      <c r="I214" s="33">
        <v>201</v>
      </c>
      <c r="J214" s="15"/>
    </row>
    <row r="215" spans="8:10" x14ac:dyDescent="0.2">
      <c r="H215" s="32" t="s">
        <v>6</v>
      </c>
      <c r="I215" s="33">
        <v>142</v>
      </c>
      <c r="J215" s="15"/>
    </row>
    <row r="216" spans="8:10" x14ac:dyDescent="0.2">
      <c r="H216" s="32" t="s">
        <v>6</v>
      </c>
      <c r="I216" s="33">
        <v>131</v>
      </c>
      <c r="J216" s="15"/>
    </row>
    <row r="217" spans="8:10" x14ac:dyDescent="0.2">
      <c r="H217" s="32" t="s">
        <v>6</v>
      </c>
      <c r="I217" s="33">
        <v>149</v>
      </c>
      <c r="J217" s="15"/>
    </row>
    <row r="218" spans="8:10" x14ac:dyDescent="0.2">
      <c r="H218" s="32" t="s">
        <v>6</v>
      </c>
      <c r="I218" s="33">
        <v>137</v>
      </c>
      <c r="J218" s="15"/>
    </row>
    <row r="219" spans="8:10" x14ac:dyDescent="0.2">
      <c r="H219" s="32" t="s">
        <v>6</v>
      </c>
      <c r="I219" s="33">
        <v>120</v>
      </c>
      <c r="J219" s="15"/>
    </row>
    <row r="220" spans="8:10" x14ac:dyDescent="0.2">
      <c r="H220" s="32" t="s">
        <v>6</v>
      </c>
      <c r="I220" s="33">
        <v>124</v>
      </c>
      <c r="J220" s="15"/>
    </row>
    <row r="221" spans="8:10" x14ac:dyDescent="0.2">
      <c r="H221" s="32" t="s">
        <v>6</v>
      </c>
      <c r="I221" s="33">
        <v>147</v>
      </c>
      <c r="J221" s="15"/>
    </row>
    <row r="222" spans="8:10" x14ac:dyDescent="0.2">
      <c r="H222" s="32" t="s">
        <v>6</v>
      </c>
      <c r="I222" s="33">
        <v>145</v>
      </c>
      <c r="J222" s="15"/>
    </row>
    <row r="223" spans="8:10" x14ac:dyDescent="0.2">
      <c r="H223" s="32" t="s">
        <v>6</v>
      </c>
      <c r="I223" s="33">
        <v>153</v>
      </c>
      <c r="J223" s="15"/>
    </row>
    <row r="224" spans="8:10" x14ac:dyDescent="0.2">
      <c r="H224" s="32" t="s">
        <v>6</v>
      </c>
      <c r="I224" s="33">
        <v>75</v>
      </c>
      <c r="J224" s="15"/>
    </row>
    <row r="225" spans="8:10" x14ac:dyDescent="0.2">
      <c r="H225" s="32" t="s">
        <v>6</v>
      </c>
      <c r="I225" s="33">
        <v>98</v>
      </c>
      <c r="J225" s="15"/>
    </row>
    <row r="226" spans="8:10" x14ac:dyDescent="0.2">
      <c r="H226" s="32" t="s">
        <v>6</v>
      </c>
      <c r="I226" s="33">
        <v>82</v>
      </c>
      <c r="J226" s="15"/>
    </row>
    <row r="227" spans="8:10" x14ac:dyDescent="0.2">
      <c r="H227" s="32" t="s">
        <v>6</v>
      </c>
      <c r="I227" s="33">
        <v>139</v>
      </c>
      <c r="J227" s="15"/>
    </row>
    <row r="228" spans="8:10" x14ac:dyDescent="0.2">
      <c r="H228" s="32" t="s">
        <v>6</v>
      </c>
      <c r="I228" s="33">
        <v>95</v>
      </c>
      <c r="J228" s="15"/>
    </row>
    <row r="229" spans="8:10" x14ac:dyDescent="0.2">
      <c r="H229" s="32" t="s">
        <v>6</v>
      </c>
      <c r="I229" s="33">
        <v>124</v>
      </c>
      <c r="J229" s="15"/>
    </row>
    <row r="230" spans="8:10" x14ac:dyDescent="0.2">
      <c r="H230" s="32" t="s">
        <v>6</v>
      </c>
      <c r="I230" s="33">
        <v>91</v>
      </c>
      <c r="J230" s="15"/>
    </row>
    <row r="231" spans="8:10" x14ac:dyDescent="0.2">
      <c r="H231" s="32" t="s">
        <v>6</v>
      </c>
      <c r="I231" s="33">
        <v>80</v>
      </c>
      <c r="J231" s="15"/>
    </row>
    <row r="232" spans="8:10" x14ac:dyDescent="0.2">
      <c r="H232" s="32" t="s">
        <v>6</v>
      </c>
      <c r="I232" s="33">
        <v>63</v>
      </c>
      <c r="J232" s="15"/>
    </row>
    <row r="233" spans="8:10" x14ac:dyDescent="0.2">
      <c r="H233" s="32" t="s">
        <v>4</v>
      </c>
      <c r="I233" s="6">
        <v>320</v>
      </c>
      <c r="J233" s="27"/>
    </row>
    <row r="234" spans="8:10" x14ac:dyDescent="0.2">
      <c r="H234" s="32" t="s">
        <v>4</v>
      </c>
      <c r="I234" s="5">
        <v>310</v>
      </c>
      <c r="J234" s="2"/>
    </row>
    <row r="235" spans="8:10" x14ac:dyDescent="0.2">
      <c r="H235" s="32" t="s">
        <v>4</v>
      </c>
      <c r="I235" s="5">
        <v>295</v>
      </c>
      <c r="J235" s="2"/>
    </row>
    <row r="236" spans="8:10" x14ac:dyDescent="0.2">
      <c r="H236" s="32" t="s">
        <v>4</v>
      </c>
      <c r="I236" s="5">
        <v>280</v>
      </c>
      <c r="J236" s="2"/>
    </row>
    <row r="237" spans="8:10" x14ac:dyDescent="0.2">
      <c r="H237" s="32" t="s">
        <v>4</v>
      </c>
      <c r="I237" s="5">
        <v>275</v>
      </c>
      <c r="J237" s="2"/>
    </row>
    <row r="238" spans="8:10" x14ac:dyDescent="0.2">
      <c r="H238" s="32" t="s">
        <v>4</v>
      </c>
      <c r="I238" s="5">
        <v>260</v>
      </c>
      <c r="J238" s="2"/>
    </row>
    <row r="239" spans="8:10" x14ac:dyDescent="0.2">
      <c r="H239" s="32" t="s">
        <v>4</v>
      </c>
      <c r="I239" s="5">
        <v>250</v>
      </c>
      <c r="J239" s="2"/>
    </row>
    <row r="240" spans="8:10" x14ac:dyDescent="0.2">
      <c r="H240" s="32" t="s">
        <v>4</v>
      </c>
      <c r="I240" s="5">
        <v>245</v>
      </c>
      <c r="J240" s="2"/>
    </row>
    <row r="241" spans="8:10" x14ac:dyDescent="0.2">
      <c r="H241" s="32" t="s">
        <v>4</v>
      </c>
      <c r="I241" s="5">
        <v>235</v>
      </c>
      <c r="J241" s="2"/>
    </row>
    <row r="242" spans="8:10" x14ac:dyDescent="0.2">
      <c r="H242" s="32" t="s">
        <v>4</v>
      </c>
      <c r="I242" s="5">
        <v>225</v>
      </c>
      <c r="J242" s="2"/>
    </row>
    <row r="243" spans="8:10" x14ac:dyDescent="0.2">
      <c r="H243" s="32" t="s">
        <v>4</v>
      </c>
      <c r="I243" s="5">
        <v>215</v>
      </c>
      <c r="J243" s="2"/>
    </row>
    <row r="244" spans="8:10" x14ac:dyDescent="0.2">
      <c r="H244" s="32" t="s">
        <v>4</v>
      </c>
      <c r="I244" s="5">
        <v>205</v>
      </c>
      <c r="J244" s="2"/>
    </row>
    <row r="245" spans="8:10" x14ac:dyDescent="0.2">
      <c r="H245" s="32" t="s">
        <v>4</v>
      </c>
      <c r="I245" s="5">
        <v>195</v>
      </c>
      <c r="J245" s="2"/>
    </row>
    <row r="246" spans="8:10" x14ac:dyDescent="0.2">
      <c r="H246" s="32" t="s">
        <v>4</v>
      </c>
      <c r="I246" s="5">
        <v>185</v>
      </c>
      <c r="J246" s="2"/>
    </row>
    <row r="247" spans="8:10" x14ac:dyDescent="0.2">
      <c r="H247" s="32" t="s">
        <v>4</v>
      </c>
      <c r="I247" s="5">
        <v>175</v>
      </c>
      <c r="J247" s="2"/>
    </row>
    <row r="248" spans="8:10" x14ac:dyDescent="0.2">
      <c r="H248" s="32" t="s">
        <v>4</v>
      </c>
      <c r="I248" s="5">
        <v>165</v>
      </c>
      <c r="J248" s="2"/>
    </row>
    <row r="249" spans="8:10" x14ac:dyDescent="0.2">
      <c r="H249" s="32" t="s">
        <v>4</v>
      </c>
      <c r="I249" s="5">
        <v>155</v>
      </c>
      <c r="J249" s="2"/>
    </row>
    <row r="250" spans="8:10" x14ac:dyDescent="0.2">
      <c r="H250" s="32" t="s">
        <v>4</v>
      </c>
      <c r="I250" s="5">
        <v>145</v>
      </c>
      <c r="J250" s="2"/>
    </row>
    <row r="251" spans="8:10" x14ac:dyDescent="0.2">
      <c r="H251" s="32" t="s">
        <v>4</v>
      </c>
      <c r="I251" s="5">
        <v>135</v>
      </c>
      <c r="J251" s="2"/>
    </row>
    <row r="252" spans="8:10" x14ac:dyDescent="0.2">
      <c r="H252" s="32" t="s">
        <v>4</v>
      </c>
      <c r="I252" s="5">
        <v>125</v>
      </c>
      <c r="J252" s="2"/>
    </row>
    <row r="253" spans="8:10" x14ac:dyDescent="0.2">
      <c r="H253" s="32" t="s">
        <v>4</v>
      </c>
      <c r="I253" s="5">
        <v>120</v>
      </c>
    </row>
    <row r="254" spans="8:10" x14ac:dyDescent="0.2">
      <c r="H254" s="32" t="s">
        <v>4</v>
      </c>
      <c r="I254" s="5">
        <v>115</v>
      </c>
    </row>
    <row r="255" spans="8:10" x14ac:dyDescent="0.2">
      <c r="H255" s="32" t="s">
        <v>4</v>
      </c>
      <c r="I255" s="5">
        <v>110</v>
      </c>
    </row>
    <row r="256" spans="8:10" x14ac:dyDescent="0.2">
      <c r="H256" s="32" t="s">
        <v>4</v>
      </c>
      <c r="I256" s="5">
        <v>105</v>
      </c>
    </row>
    <row r="257" spans="8:9" x14ac:dyDescent="0.2">
      <c r="H257" s="32" t="s">
        <v>4</v>
      </c>
      <c r="I257" s="5">
        <v>100</v>
      </c>
    </row>
    <row r="258" spans="8:9" x14ac:dyDescent="0.2">
      <c r="H258" s="32" t="s">
        <v>4</v>
      </c>
      <c r="I258" s="5">
        <v>95</v>
      </c>
    </row>
    <row r="259" spans="8:9" x14ac:dyDescent="0.2">
      <c r="H259" s="32" t="s">
        <v>4</v>
      </c>
      <c r="I259" s="5">
        <v>90</v>
      </c>
    </row>
    <row r="260" spans="8:9" x14ac:dyDescent="0.2">
      <c r="H260" s="32" t="s">
        <v>4</v>
      </c>
      <c r="I260" s="5">
        <v>85</v>
      </c>
    </row>
    <row r="261" spans="8:9" x14ac:dyDescent="0.2">
      <c r="H261" s="32" t="s">
        <v>4</v>
      </c>
      <c r="I261" s="5">
        <v>80</v>
      </c>
    </row>
    <row r="262" spans="8:9" x14ac:dyDescent="0.2">
      <c r="H262" s="32" t="s">
        <v>4</v>
      </c>
      <c r="I262" s="5">
        <v>75</v>
      </c>
    </row>
    <row r="263" spans="8:9" x14ac:dyDescent="0.2">
      <c r="H263" s="32" t="s">
        <v>4</v>
      </c>
      <c r="I263" s="5">
        <v>70</v>
      </c>
    </row>
    <row r="264" spans="8:9" x14ac:dyDescent="0.2">
      <c r="H264" s="32" t="s">
        <v>4</v>
      </c>
      <c r="I264" s="5">
        <v>65</v>
      </c>
    </row>
    <row r="265" spans="8:9" x14ac:dyDescent="0.2">
      <c r="H265" s="32" t="s">
        <v>4</v>
      </c>
      <c r="I265" s="5">
        <v>60</v>
      </c>
    </row>
    <row r="266" spans="8:9" x14ac:dyDescent="0.2">
      <c r="H266" s="32" t="s">
        <v>4</v>
      </c>
      <c r="I266" s="5">
        <v>55</v>
      </c>
    </row>
    <row r="267" spans="8:9" x14ac:dyDescent="0.2">
      <c r="H267" s="32" t="s">
        <v>4</v>
      </c>
      <c r="I267" s="5">
        <v>50</v>
      </c>
    </row>
    <row r="268" spans="8:9" x14ac:dyDescent="0.2">
      <c r="H268" s="32" t="s">
        <v>4</v>
      </c>
      <c r="I268" s="5">
        <v>45</v>
      </c>
    </row>
    <row r="269" spans="8:9" x14ac:dyDescent="0.2">
      <c r="H269" s="32" t="s">
        <v>4</v>
      </c>
      <c r="I269" s="5">
        <v>40</v>
      </c>
    </row>
    <row r="270" spans="8:9" x14ac:dyDescent="0.2">
      <c r="H270" s="32" t="s">
        <v>4</v>
      </c>
      <c r="I270" s="5">
        <v>35</v>
      </c>
    </row>
    <row r="271" spans="8:9" x14ac:dyDescent="0.2">
      <c r="H271" s="32" t="s">
        <v>4</v>
      </c>
      <c r="I271" s="5">
        <v>30</v>
      </c>
    </row>
    <row r="272" spans="8:9" x14ac:dyDescent="0.2">
      <c r="H272" s="32" t="s">
        <v>4</v>
      </c>
      <c r="I272" s="5">
        <v>25</v>
      </c>
    </row>
    <row r="273" spans="8:10" x14ac:dyDescent="0.2">
      <c r="H273" s="32" t="s">
        <v>4</v>
      </c>
      <c r="I273" s="33">
        <v>295</v>
      </c>
      <c r="J273" s="15"/>
    </row>
    <row r="274" spans="8:10" x14ac:dyDescent="0.2">
      <c r="H274" s="32" t="s">
        <v>4</v>
      </c>
      <c r="I274" s="33">
        <v>289</v>
      </c>
      <c r="J274" s="15"/>
    </row>
    <row r="275" spans="8:10" x14ac:dyDescent="0.2">
      <c r="H275" s="32" t="s">
        <v>4</v>
      </c>
      <c r="I275" s="33">
        <v>310</v>
      </c>
      <c r="J275" s="15"/>
    </row>
    <row r="276" spans="8:10" x14ac:dyDescent="0.2">
      <c r="H276" s="32" t="s">
        <v>4</v>
      </c>
      <c r="I276" s="33">
        <v>308</v>
      </c>
      <c r="J276" s="15"/>
    </row>
    <row r="277" spans="8:10" x14ac:dyDescent="0.2">
      <c r="H277" s="32" t="s">
        <v>4</v>
      </c>
      <c r="I277" s="33">
        <v>284</v>
      </c>
      <c r="J277" s="15"/>
    </row>
    <row r="278" spans="8:10" x14ac:dyDescent="0.2">
      <c r="H278" s="32" t="s">
        <v>4</v>
      </c>
      <c r="I278" s="33">
        <v>243</v>
      </c>
      <c r="J278" s="15"/>
    </row>
    <row r="279" spans="8:10" x14ac:dyDescent="0.2">
      <c r="H279" s="32" t="s">
        <v>4</v>
      </c>
      <c r="I279" s="33">
        <v>237</v>
      </c>
      <c r="J279" s="15"/>
    </row>
    <row r="280" spans="8:10" x14ac:dyDescent="0.2">
      <c r="H280" s="32" t="s">
        <v>4</v>
      </c>
      <c r="I280" s="33">
        <v>235</v>
      </c>
      <c r="J280" s="15"/>
    </row>
    <row r="281" spans="8:10" x14ac:dyDescent="0.2">
      <c r="H281" s="32" t="s">
        <v>4</v>
      </c>
      <c r="I281" s="33">
        <v>217</v>
      </c>
      <c r="J281" s="15"/>
    </row>
    <row r="282" spans="8:10" x14ac:dyDescent="0.2">
      <c r="H282" s="32" t="s">
        <v>4</v>
      </c>
      <c r="I282" s="33">
        <v>206</v>
      </c>
      <c r="J282" s="15"/>
    </row>
    <row r="283" spans="8:10" x14ac:dyDescent="0.2">
      <c r="H283" s="32" t="s">
        <v>4</v>
      </c>
      <c r="I283" s="33">
        <v>241</v>
      </c>
      <c r="J283" s="15"/>
    </row>
    <row r="284" spans="8:10" x14ac:dyDescent="0.2">
      <c r="H284" s="32" t="s">
        <v>4</v>
      </c>
      <c r="I284" s="33">
        <v>214</v>
      </c>
      <c r="J284" s="15"/>
    </row>
    <row r="285" spans="8:10" x14ac:dyDescent="0.2">
      <c r="H285" s="32" t="s">
        <v>4</v>
      </c>
      <c r="I285" s="33">
        <v>188</v>
      </c>
      <c r="J285" s="15"/>
    </row>
    <row r="286" spans="8:10" x14ac:dyDescent="0.2">
      <c r="H286" s="32" t="s">
        <v>4</v>
      </c>
      <c r="I286" s="33">
        <v>212</v>
      </c>
      <c r="J286" s="15"/>
    </row>
    <row r="287" spans="8:10" x14ac:dyDescent="0.2">
      <c r="H287" s="32" t="s">
        <v>4</v>
      </c>
      <c r="I287" s="33">
        <v>156</v>
      </c>
      <c r="J287" s="15"/>
    </row>
    <row r="288" spans="8:10" x14ac:dyDescent="0.2">
      <c r="H288" s="32" t="s">
        <v>4</v>
      </c>
      <c r="I288" s="33">
        <v>193</v>
      </c>
      <c r="J288" s="15"/>
    </row>
    <row r="289" spans="8:10" x14ac:dyDescent="0.2">
      <c r="H289" s="32" t="s">
        <v>4</v>
      </c>
      <c r="I289" s="33">
        <v>146</v>
      </c>
      <c r="J289" s="15"/>
    </row>
    <row r="290" spans="8:10" x14ac:dyDescent="0.2">
      <c r="H290" s="32" t="s">
        <v>4</v>
      </c>
      <c r="I290" s="33">
        <v>152</v>
      </c>
      <c r="J290" s="15"/>
    </row>
    <row r="291" spans="8:10" x14ac:dyDescent="0.2">
      <c r="H291" s="32" t="s">
        <v>4</v>
      </c>
      <c r="I291" s="33">
        <v>143</v>
      </c>
      <c r="J291" s="15"/>
    </row>
    <row r="292" spans="8:10" x14ac:dyDescent="0.2">
      <c r="H292" s="32" t="s">
        <v>4</v>
      </c>
      <c r="I292" s="33">
        <v>108</v>
      </c>
      <c r="J292" s="15"/>
    </row>
    <row r="293" spans="8:10" x14ac:dyDescent="0.2">
      <c r="H293" s="32" t="s">
        <v>4</v>
      </c>
      <c r="I293" s="33">
        <v>124</v>
      </c>
      <c r="J293" s="15"/>
    </row>
    <row r="294" spans="8:10" x14ac:dyDescent="0.2">
      <c r="H294" s="32" t="s">
        <v>4</v>
      </c>
      <c r="I294" s="33">
        <v>105</v>
      </c>
      <c r="J294" s="15"/>
    </row>
    <row r="295" spans="8:10" x14ac:dyDescent="0.2">
      <c r="H295" s="32" t="s">
        <v>4</v>
      </c>
      <c r="I295" s="33">
        <v>129</v>
      </c>
      <c r="J295" s="15"/>
    </row>
    <row r="296" spans="8:10" x14ac:dyDescent="0.2">
      <c r="H296" s="32" t="s">
        <v>4</v>
      </c>
      <c r="I296" s="33">
        <v>84</v>
      </c>
      <c r="J296" s="15"/>
    </row>
    <row r="297" spans="8:10" x14ac:dyDescent="0.2">
      <c r="H297" s="32" t="s">
        <v>4</v>
      </c>
      <c r="I297" s="33">
        <v>109</v>
      </c>
      <c r="J297" s="15"/>
    </row>
    <row r="298" spans="8:10" x14ac:dyDescent="0.2">
      <c r="H298" s="32" t="s">
        <v>4</v>
      </c>
      <c r="I298" s="33">
        <v>114</v>
      </c>
      <c r="J298" s="15"/>
    </row>
    <row r="299" spans="8:10" x14ac:dyDescent="0.2">
      <c r="H299" s="32" t="s">
        <v>4</v>
      </c>
      <c r="I299" s="33">
        <v>96</v>
      </c>
      <c r="J299" s="15"/>
    </row>
    <row r="300" spans="8:10" x14ac:dyDescent="0.2">
      <c r="H300" s="32" t="s">
        <v>4</v>
      </c>
      <c r="I300" s="33">
        <v>55</v>
      </c>
      <c r="J300" s="15"/>
    </row>
    <row r="301" spans="8:10" x14ac:dyDescent="0.2">
      <c r="H301" s="32" t="s">
        <v>4</v>
      </c>
      <c r="I301" s="33">
        <v>99</v>
      </c>
      <c r="J301" s="15"/>
    </row>
    <row r="302" spans="8:10" x14ac:dyDescent="0.2">
      <c r="H302" s="32" t="s">
        <v>4</v>
      </c>
      <c r="I302" s="33">
        <v>68</v>
      </c>
      <c r="J302" s="15"/>
    </row>
    <row r="303" spans="8:10" x14ac:dyDescent="0.2">
      <c r="H303" s="32" t="s">
        <v>4</v>
      </c>
      <c r="I303" s="33">
        <v>62</v>
      </c>
      <c r="J303" s="15"/>
    </row>
    <row r="304" spans="8:10" x14ac:dyDescent="0.2">
      <c r="H304" s="32" t="s">
        <v>4</v>
      </c>
      <c r="I304" s="33">
        <v>45</v>
      </c>
      <c r="J304" s="15"/>
    </row>
    <row r="305" spans="8:10" x14ac:dyDescent="0.2">
      <c r="H305" s="32" t="s">
        <v>4</v>
      </c>
      <c r="I305" s="33">
        <v>65</v>
      </c>
      <c r="J305" s="15"/>
    </row>
    <row r="306" spans="8:10" x14ac:dyDescent="0.2">
      <c r="H306" s="32" t="s">
        <v>4</v>
      </c>
      <c r="I306" s="33">
        <v>70</v>
      </c>
      <c r="J306" s="15"/>
    </row>
    <row r="307" spans="8:10" x14ac:dyDescent="0.2">
      <c r="H307" s="32" t="s">
        <v>4</v>
      </c>
      <c r="I307" s="33">
        <v>23</v>
      </c>
      <c r="J307" s="15"/>
    </row>
    <row r="308" spans="8:10" x14ac:dyDescent="0.2">
      <c r="H308" s="32" t="s">
        <v>4</v>
      </c>
      <c r="I308" s="33">
        <v>66</v>
      </c>
      <c r="J308" s="15"/>
    </row>
    <row r="309" spans="8:10" x14ac:dyDescent="0.2">
      <c r="H309" s="32" t="s">
        <v>4</v>
      </c>
      <c r="I309" s="33">
        <v>35</v>
      </c>
      <c r="J309" s="15"/>
    </row>
    <row r="310" spans="8:10" x14ac:dyDescent="0.2">
      <c r="H310" s="32" t="s">
        <v>4</v>
      </c>
      <c r="I310" s="33">
        <v>36</v>
      </c>
      <c r="J310" s="15"/>
    </row>
    <row r="311" spans="8:10" x14ac:dyDescent="0.2">
      <c r="H311" s="32" t="s">
        <v>4</v>
      </c>
      <c r="I311" s="33">
        <v>49</v>
      </c>
      <c r="J311" s="15"/>
    </row>
    <row r="312" spans="8:10" x14ac:dyDescent="0.2">
      <c r="H312" s="32" t="s">
        <v>4</v>
      </c>
      <c r="I312" s="33">
        <v>38</v>
      </c>
      <c r="J312" s="15"/>
    </row>
    <row r="313" spans="8:10" x14ac:dyDescent="0.2">
      <c r="H313" s="32" t="s">
        <v>4</v>
      </c>
      <c r="I313" s="33">
        <v>312</v>
      </c>
      <c r="J313" s="15"/>
    </row>
    <row r="314" spans="8:10" x14ac:dyDescent="0.2">
      <c r="H314" s="32" t="s">
        <v>4</v>
      </c>
      <c r="I314" s="33">
        <v>273</v>
      </c>
      <c r="J314" s="15"/>
    </row>
    <row r="315" spans="8:10" x14ac:dyDescent="0.2">
      <c r="H315" s="32" t="s">
        <v>4</v>
      </c>
      <c r="I315" s="33">
        <v>280</v>
      </c>
      <c r="J315" s="15"/>
    </row>
    <row r="316" spans="8:10" x14ac:dyDescent="0.2">
      <c r="H316" s="32" t="s">
        <v>4</v>
      </c>
      <c r="I316" s="33">
        <v>301</v>
      </c>
      <c r="J316" s="15"/>
    </row>
    <row r="317" spans="8:10" x14ac:dyDescent="0.2">
      <c r="H317" s="32" t="s">
        <v>4</v>
      </c>
      <c r="I317" s="33">
        <v>257</v>
      </c>
      <c r="J317" s="15"/>
    </row>
    <row r="318" spans="8:10" x14ac:dyDescent="0.2">
      <c r="H318" s="32" t="s">
        <v>4</v>
      </c>
      <c r="I318" s="33">
        <v>264</v>
      </c>
      <c r="J318" s="15"/>
    </row>
    <row r="319" spans="8:10" x14ac:dyDescent="0.2">
      <c r="H319" s="32" t="s">
        <v>4</v>
      </c>
      <c r="I319" s="33">
        <v>226</v>
      </c>
      <c r="J319" s="15"/>
    </row>
    <row r="320" spans="8:10" x14ac:dyDescent="0.2">
      <c r="H320" s="32" t="s">
        <v>4</v>
      </c>
      <c r="I320" s="33">
        <v>262</v>
      </c>
      <c r="J320" s="15"/>
    </row>
    <row r="321" spans="8:10" x14ac:dyDescent="0.2">
      <c r="H321" s="32" t="s">
        <v>4</v>
      </c>
      <c r="I321" s="33">
        <v>246</v>
      </c>
      <c r="J321" s="15"/>
    </row>
    <row r="322" spans="8:10" x14ac:dyDescent="0.2">
      <c r="H322" s="32" t="s">
        <v>4</v>
      </c>
      <c r="I322" s="33">
        <v>180</v>
      </c>
      <c r="J322" s="15"/>
    </row>
    <row r="323" spans="8:10" x14ac:dyDescent="0.2">
      <c r="H323" s="32" t="s">
        <v>4</v>
      </c>
      <c r="I323" s="33">
        <v>231</v>
      </c>
      <c r="J323" s="15"/>
    </row>
    <row r="324" spans="8:10" x14ac:dyDescent="0.2">
      <c r="H324" s="32" t="s">
        <v>4</v>
      </c>
      <c r="I324" s="33">
        <v>229</v>
      </c>
      <c r="J324" s="15"/>
    </row>
    <row r="325" spans="8:10" x14ac:dyDescent="0.2">
      <c r="H325" s="32" t="s">
        <v>4</v>
      </c>
      <c r="I325" s="33">
        <v>187</v>
      </c>
      <c r="J325" s="15"/>
    </row>
    <row r="326" spans="8:10" x14ac:dyDescent="0.2">
      <c r="H326" s="32" t="s">
        <v>4</v>
      </c>
      <c r="I326" s="33">
        <v>204</v>
      </c>
      <c r="J326" s="15"/>
    </row>
    <row r="327" spans="8:10" x14ac:dyDescent="0.2">
      <c r="H327" s="32" t="s">
        <v>4</v>
      </c>
      <c r="I327" s="33">
        <v>155</v>
      </c>
      <c r="J327" s="15"/>
    </row>
    <row r="328" spans="8:10" x14ac:dyDescent="0.2">
      <c r="H328" s="32" t="s">
        <v>4</v>
      </c>
      <c r="I328" s="33">
        <v>189</v>
      </c>
      <c r="J328" s="15"/>
    </row>
    <row r="329" spans="8:10" x14ac:dyDescent="0.2">
      <c r="H329" s="32" t="s">
        <v>4</v>
      </c>
      <c r="I329" s="33">
        <v>176</v>
      </c>
      <c r="J329" s="15"/>
    </row>
    <row r="330" spans="8:10" x14ac:dyDescent="0.2">
      <c r="H330" s="32" t="s">
        <v>4</v>
      </c>
      <c r="I330" s="33">
        <v>149</v>
      </c>
      <c r="J330" s="15"/>
    </row>
    <row r="331" spans="8:10" x14ac:dyDescent="0.2">
      <c r="H331" s="32" t="s">
        <v>4</v>
      </c>
      <c r="I331" s="33">
        <v>158</v>
      </c>
      <c r="J331" s="15"/>
    </row>
    <row r="332" spans="8:10" x14ac:dyDescent="0.2">
      <c r="H332" s="32" t="s">
        <v>4</v>
      </c>
      <c r="I332" s="33">
        <v>128</v>
      </c>
      <c r="J332" s="15"/>
    </row>
    <row r="333" spans="8:10" x14ac:dyDescent="0.2">
      <c r="H333" s="32" t="s">
        <v>4</v>
      </c>
      <c r="I333" s="33">
        <v>117</v>
      </c>
      <c r="J333" s="15"/>
    </row>
    <row r="334" spans="8:10" x14ac:dyDescent="0.2">
      <c r="H334" s="32" t="s">
        <v>4</v>
      </c>
      <c r="I334" s="33">
        <v>127</v>
      </c>
      <c r="J334" s="15"/>
    </row>
    <row r="335" spans="8:10" x14ac:dyDescent="0.2">
      <c r="H335" s="32" t="s">
        <v>4</v>
      </c>
      <c r="I335" s="33">
        <v>112</v>
      </c>
      <c r="J335" s="15"/>
    </row>
    <row r="336" spans="8:10" x14ac:dyDescent="0.2">
      <c r="H336" s="32" t="s">
        <v>4</v>
      </c>
      <c r="I336" s="33">
        <v>63</v>
      </c>
      <c r="J336" s="15"/>
    </row>
    <row r="337" spans="8:10" x14ac:dyDescent="0.2">
      <c r="H337" s="32" t="s">
        <v>4</v>
      </c>
      <c r="I337" s="33">
        <v>120</v>
      </c>
      <c r="J337" s="15"/>
    </row>
    <row r="338" spans="8:10" x14ac:dyDescent="0.2">
      <c r="H338" s="32" t="s">
        <v>4</v>
      </c>
      <c r="I338" s="33">
        <v>140</v>
      </c>
      <c r="J338" s="15"/>
    </row>
    <row r="339" spans="8:10" x14ac:dyDescent="0.2">
      <c r="H339" s="32" t="s">
        <v>4</v>
      </c>
      <c r="I339" s="33">
        <v>86</v>
      </c>
      <c r="J339" s="15"/>
    </row>
    <row r="340" spans="8:10" x14ac:dyDescent="0.2">
      <c r="H340" s="32" t="s">
        <v>4</v>
      </c>
      <c r="I340" s="33">
        <v>29</v>
      </c>
      <c r="J340" s="15"/>
    </row>
    <row r="341" spans="8:10" x14ac:dyDescent="0.2">
      <c r="H341" s="32" t="s">
        <v>4</v>
      </c>
      <c r="I341" s="33">
        <v>107</v>
      </c>
      <c r="J341" s="15"/>
    </row>
    <row r="342" spans="8:10" x14ac:dyDescent="0.2">
      <c r="H342" s="32" t="s">
        <v>4</v>
      </c>
      <c r="I342" s="33">
        <v>41</v>
      </c>
      <c r="J342" s="15"/>
    </row>
    <row r="343" spans="8:10" x14ac:dyDescent="0.2">
      <c r="H343" s="32" t="s">
        <v>4</v>
      </c>
      <c r="I343" s="33">
        <v>67</v>
      </c>
      <c r="J343" s="15"/>
    </row>
    <row r="344" spans="8:10" x14ac:dyDescent="0.2">
      <c r="H344" s="32" t="s">
        <v>4</v>
      </c>
      <c r="I344" s="33">
        <v>35</v>
      </c>
      <c r="J344" s="15"/>
    </row>
    <row r="345" spans="8:10" x14ac:dyDescent="0.2">
      <c r="H345" s="32" t="s">
        <v>4</v>
      </c>
      <c r="I345" s="33">
        <v>40</v>
      </c>
      <c r="J345" s="15"/>
    </row>
    <row r="346" spans="8:10" x14ac:dyDescent="0.2">
      <c r="H346" s="32" t="s">
        <v>4</v>
      </c>
      <c r="I346" s="33">
        <v>66</v>
      </c>
      <c r="J346" s="15"/>
    </row>
    <row r="347" spans="8:10" x14ac:dyDescent="0.2">
      <c r="H347" s="32" t="s">
        <v>4</v>
      </c>
      <c r="I347" s="33">
        <v>23</v>
      </c>
      <c r="J347" s="15"/>
    </row>
    <row r="348" spans="8:10" x14ac:dyDescent="0.2">
      <c r="H348" s="32" t="s">
        <v>7</v>
      </c>
      <c r="I348" s="6">
        <v>210</v>
      </c>
      <c r="J348" s="27"/>
    </row>
    <row r="349" spans="8:10" x14ac:dyDescent="0.2">
      <c r="H349" s="32" t="s">
        <v>7</v>
      </c>
      <c r="I349" s="5">
        <v>230</v>
      </c>
      <c r="J349" s="2"/>
    </row>
    <row r="350" spans="8:10" x14ac:dyDescent="0.2">
      <c r="H350" s="32" t="s">
        <v>7</v>
      </c>
      <c r="I350" s="5">
        <v>220</v>
      </c>
      <c r="J350" s="2"/>
    </row>
    <row r="351" spans="8:10" x14ac:dyDescent="0.2">
      <c r="H351" s="32" t="s">
        <v>7</v>
      </c>
      <c r="I351" s="5">
        <v>240</v>
      </c>
      <c r="J351" s="2"/>
    </row>
    <row r="352" spans="8:10" x14ac:dyDescent="0.2">
      <c r="H352" s="32" t="s">
        <v>7</v>
      </c>
      <c r="I352" s="5">
        <v>260</v>
      </c>
      <c r="J352" s="2"/>
    </row>
    <row r="353" spans="8:10" x14ac:dyDescent="0.2">
      <c r="H353" s="32" t="s">
        <v>7</v>
      </c>
      <c r="I353" s="5">
        <v>250</v>
      </c>
      <c r="J353" s="2"/>
    </row>
    <row r="354" spans="8:10" x14ac:dyDescent="0.2">
      <c r="H354" s="32" t="s">
        <v>7</v>
      </c>
      <c r="I354" s="5">
        <v>240</v>
      </c>
      <c r="J354" s="2"/>
    </row>
    <row r="355" spans="8:10" x14ac:dyDescent="0.2">
      <c r="H355" s="32" t="s">
        <v>7</v>
      </c>
      <c r="I355" s="5">
        <v>230</v>
      </c>
      <c r="J355" s="2"/>
    </row>
    <row r="356" spans="8:10" x14ac:dyDescent="0.2">
      <c r="H356" s="32" t="s">
        <v>7</v>
      </c>
      <c r="I356" s="5">
        <v>220</v>
      </c>
      <c r="J356" s="2"/>
    </row>
    <row r="357" spans="8:10" x14ac:dyDescent="0.2">
      <c r="H357" s="32" t="s">
        <v>7</v>
      </c>
      <c r="I357" s="5">
        <v>210</v>
      </c>
      <c r="J357" s="2"/>
    </row>
    <row r="358" spans="8:10" x14ac:dyDescent="0.2">
      <c r="H358" s="32" t="s">
        <v>7</v>
      </c>
      <c r="I358" s="5">
        <v>200</v>
      </c>
      <c r="J358" s="2"/>
    </row>
    <row r="359" spans="8:10" x14ac:dyDescent="0.2">
      <c r="H359" s="32" t="s">
        <v>7</v>
      </c>
      <c r="I359" s="5">
        <v>190</v>
      </c>
      <c r="J359" s="2"/>
    </row>
    <row r="360" spans="8:10" x14ac:dyDescent="0.2">
      <c r="H360" s="32" t="s">
        <v>7</v>
      </c>
      <c r="I360" s="5">
        <v>180</v>
      </c>
      <c r="J360" s="2"/>
    </row>
    <row r="361" spans="8:10" x14ac:dyDescent="0.2">
      <c r="H361" s="32" t="s">
        <v>7</v>
      </c>
      <c r="I361" s="5">
        <v>170</v>
      </c>
      <c r="J361" s="2"/>
    </row>
    <row r="362" spans="8:10" x14ac:dyDescent="0.2">
      <c r="H362" s="32" t="s">
        <v>7</v>
      </c>
      <c r="I362" s="5">
        <v>160</v>
      </c>
      <c r="J362" s="2"/>
    </row>
    <row r="363" spans="8:10" x14ac:dyDescent="0.2">
      <c r="H363" s="32" t="s">
        <v>7</v>
      </c>
      <c r="I363" s="5">
        <v>150</v>
      </c>
      <c r="J363" s="2"/>
    </row>
    <row r="364" spans="8:10" x14ac:dyDescent="0.2">
      <c r="H364" s="32" t="s">
        <v>7</v>
      </c>
      <c r="I364" s="5">
        <v>140</v>
      </c>
      <c r="J364" s="2"/>
    </row>
    <row r="365" spans="8:10" x14ac:dyDescent="0.2">
      <c r="H365" s="32" t="s">
        <v>7</v>
      </c>
      <c r="I365" s="5">
        <v>130</v>
      </c>
      <c r="J365" s="2"/>
    </row>
    <row r="366" spans="8:10" x14ac:dyDescent="0.2">
      <c r="H366" s="32" t="s">
        <v>7</v>
      </c>
      <c r="I366" s="5">
        <v>120</v>
      </c>
      <c r="J366" s="2"/>
    </row>
    <row r="367" spans="8:10" x14ac:dyDescent="0.2">
      <c r="H367" s="32" t="s">
        <v>7</v>
      </c>
      <c r="I367" s="5">
        <v>110</v>
      </c>
      <c r="J367" s="2"/>
    </row>
    <row r="368" spans="8:10" x14ac:dyDescent="0.2">
      <c r="H368" s="32" t="s">
        <v>7</v>
      </c>
      <c r="I368" s="5">
        <v>105</v>
      </c>
    </row>
    <row r="369" spans="8:9" x14ac:dyDescent="0.2">
      <c r="H369" s="32" t="s">
        <v>7</v>
      </c>
      <c r="I369" s="5">
        <v>100</v>
      </c>
    </row>
    <row r="370" spans="8:9" x14ac:dyDescent="0.2">
      <c r="H370" s="32" t="s">
        <v>7</v>
      </c>
      <c r="I370" s="5">
        <v>95</v>
      </c>
    </row>
    <row r="371" spans="8:9" x14ac:dyDescent="0.2">
      <c r="H371" s="32" t="s">
        <v>7</v>
      </c>
      <c r="I371" s="5">
        <v>90</v>
      </c>
    </row>
    <row r="372" spans="8:9" x14ac:dyDescent="0.2">
      <c r="H372" s="32" t="s">
        <v>7</v>
      </c>
      <c r="I372" s="5">
        <v>85</v>
      </c>
    </row>
    <row r="373" spans="8:9" x14ac:dyDescent="0.2">
      <c r="H373" s="32" t="s">
        <v>7</v>
      </c>
      <c r="I373" s="5">
        <v>80</v>
      </c>
    </row>
    <row r="374" spans="8:9" x14ac:dyDescent="0.2">
      <c r="H374" s="32" t="s">
        <v>7</v>
      </c>
      <c r="I374" s="5">
        <v>75</v>
      </c>
    </row>
    <row r="375" spans="8:9" x14ac:dyDescent="0.2">
      <c r="H375" s="32" t="s">
        <v>7</v>
      </c>
      <c r="I375" s="5">
        <v>70</v>
      </c>
    </row>
    <row r="376" spans="8:9" x14ac:dyDescent="0.2">
      <c r="H376" s="32" t="s">
        <v>7</v>
      </c>
      <c r="I376" s="5">
        <v>65</v>
      </c>
    </row>
    <row r="377" spans="8:9" x14ac:dyDescent="0.2">
      <c r="H377" s="32" t="s">
        <v>7</v>
      </c>
      <c r="I377" s="5">
        <v>60</v>
      </c>
    </row>
    <row r="378" spans="8:9" x14ac:dyDescent="0.2">
      <c r="H378" s="32" t="s">
        <v>7</v>
      </c>
      <c r="I378" s="5">
        <v>55</v>
      </c>
    </row>
    <row r="379" spans="8:9" x14ac:dyDescent="0.2">
      <c r="H379" s="32" t="s">
        <v>7</v>
      </c>
      <c r="I379" s="5">
        <v>50</v>
      </c>
    </row>
    <row r="380" spans="8:9" x14ac:dyDescent="0.2">
      <c r="H380" s="32" t="s">
        <v>7</v>
      </c>
      <c r="I380" s="5">
        <v>45</v>
      </c>
    </row>
    <row r="381" spans="8:9" x14ac:dyDescent="0.2">
      <c r="H381" s="32" t="s">
        <v>7</v>
      </c>
      <c r="I381" s="5">
        <v>40</v>
      </c>
    </row>
    <row r="382" spans="8:9" x14ac:dyDescent="0.2">
      <c r="H382" s="32" t="s">
        <v>7</v>
      </c>
      <c r="I382" s="5">
        <v>35</v>
      </c>
    </row>
    <row r="383" spans="8:9" x14ac:dyDescent="0.2">
      <c r="H383" s="32" t="s">
        <v>7</v>
      </c>
      <c r="I383" s="5">
        <v>30</v>
      </c>
    </row>
    <row r="384" spans="8:9" x14ac:dyDescent="0.2">
      <c r="H384" s="32" t="s">
        <v>7</v>
      </c>
      <c r="I384" s="5">
        <v>25</v>
      </c>
    </row>
    <row r="385" spans="8:10" x14ac:dyDescent="0.2">
      <c r="H385" s="32" t="s">
        <v>7</v>
      </c>
      <c r="I385" s="5">
        <v>20</v>
      </c>
    </row>
    <row r="386" spans="8:10" x14ac:dyDescent="0.2">
      <c r="H386" s="32" t="s">
        <v>7</v>
      </c>
      <c r="I386" s="5">
        <v>15</v>
      </c>
    </row>
    <row r="387" spans="8:10" x14ac:dyDescent="0.2">
      <c r="H387" s="32" t="s">
        <v>7</v>
      </c>
      <c r="I387" s="5">
        <v>10</v>
      </c>
    </row>
    <row r="388" spans="8:10" x14ac:dyDescent="0.2">
      <c r="H388" s="32" t="s">
        <v>7</v>
      </c>
      <c r="I388" s="33">
        <v>199</v>
      </c>
      <c r="J388" s="15"/>
    </row>
    <row r="389" spans="8:10" x14ac:dyDescent="0.2">
      <c r="H389" s="32" t="s">
        <v>7</v>
      </c>
      <c r="I389" s="33">
        <v>229</v>
      </c>
      <c r="J389" s="15"/>
    </row>
    <row r="390" spans="8:10" x14ac:dyDescent="0.2">
      <c r="H390" s="32" t="s">
        <v>7</v>
      </c>
      <c r="I390" s="33">
        <v>208</v>
      </c>
      <c r="J390" s="15"/>
    </row>
    <row r="391" spans="8:10" x14ac:dyDescent="0.2">
      <c r="H391" s="32" t="s">
        <v>7</v>
      </c>
      <c r="I391" s="33">
        <v>231</v>
      </c>
      <c r="J391" s="15"/>
    </row>
    <row r="392" spans="8:10" x14ac:dyDescent="0.2">
      <c r="H392" s="32" t="s">
        <v>7</v>
      </c>
      <c r="I392" s="33">
        <v>252</v>
      </c>
      <c r="J392" s="15"/>
    </row>
    <row r="393" spans="8:10" x14ac:dyDescent="0.2">
      <c r="H393" s="32" t="s">
        <v>7</v>
      </c>
      <c r="I393" s="33">
        <v>265</v>
      </c>
      <c r="J393" s="15"/>
    </row>
    <row r="394" spans="8:10" x14ac:dyDescent="0.2">
      <c r="H394" s="32" t="s">
        <v>7</v>
      </c>
      <c r="I394" s="33">
        <v>235</v>
      </c>
      <c r="J394" s="15"/>
    </row>
    <row r="395" spans="8:10" x14ac:dyDescent="0.2">
      <c r="H395" s="32" t="s">
        <v>7</v>
      </c>
      <c r="I395" s="33">
        <v>249</v>
      </c>
      <c r="J395" s="15"/>
    </row>
    <row r="396" spans="8:10" x14ac:dyDescent="0.2">
      <c r="H396" s="32" t="s">
        <v>7</v>
      </c>
      <c r="I396" s="33">
        <v>232</v>
      </c>
      <c r="J396" s="15"/>
    </row>
    <row r="397" spans="8:10" x14ac:dyDescent="0.2">
      <c r="H397" s="32" t="s">
        <v>7</v>
      </c>
      <c r="I397" s="33">
        <v>205</v>
      </c>
      <c r="J397" s="15"/>
    </row>
    <row r="398" spans="8:10" x14ac:dyDescent="0.2">
      <c r="H398" s="32" t="s">
        <v>7</v>
      </c>
      <c r="I398" s="33">
        <v>222</v>
      </c>
      <c r="J398" s="15"/>
    </row>
    <row r="399" spans="8:10" x14ac:dyDescent="0.2">
      <c r="H399" s="32" t="s">
        <v>7</v>
      </c>
      <c r="I399" s="33">
        <v>206</v>
      </c>
      <c r="J399" s="15"/>
    </row>
    <row r="400" spans="8:10" x14ac:dyDescent="0.2">
      <c r="H400" s="32" t="s">
        <v>7</v>
      </c>
      <c r="I400" s="33">
        <v>199</v>
      </c>
      <c r="J400" s="15"/>
    </row>
    <row r="401" spans="8:10" x14ac:dyDescent="0.2">
      <c r="H401" s="32" t="s">
        <v>7</v>
      </c>
      <c r="I401" s="33">
        <v>194</v>
      </c>
      <c r="J401" s="15"/>
    </row>
    <row r="402" spans="8:10" x14ac:dyDescent="0.2">
      <c r="H402" s="32" t="s">
        <v>7</v>
      </c>
      <c r="I402" s="33">
        <v>177</v>
      </c>
      <c r="J402" s="15"/>
    </row>
    <row r="403" spans="8:10" x14ac:dyDescent="0.2">
      <c r="H403" s="32" t="s">
        <v>7</v>
      </c>
      <c r="I403" s="33">
        <v>178</v>
      </c>
      <c r="J403" s="15"/>
    </row>
    <row r="404" spans="8:10" x14ac:dyDescent="0.2">
      <c r="H404" s="32" t="s">
        <v>7</v>
      </c>
      <c r="I404" s="33">
        <v>145</v>
      </c>
      <c r="J404" s="15"/>
    </row>
    <row r="405" spans="8:10" x14ac:dyDescent="0.2">
      <c r="H405" s="32" t="s">
        <v>7</v>
      </c>
      <c r="I405" s="33">
        <v>101</v>
      </c>
      <c r="J405" s="15"/>
    </row>
    <row r="406" spans="8:10" x14ac:dyDescent="0.2">
      <c r="H406" s="32" t="s">
        <v>7</v>
      </c>
      <c r="I406" s="33">
        <v>109</v>
      </c>
      <c r="J406" s="15"/>
    </row>
    <row r="407" spans="8:10" x14ac:dyDescent="0.2">
      <c r="H407" s="32" t="s">
        <v>7</v>
      </c>
      <c r="I407" s="33">
        <v>131</v>
      </c>
      <c r="J407" s="15"/>
    </row>
    <row r="408" spans="8:10" x14ac:dyDescent="0.2">
      <c r="H408" s="32" t="s">
        <v>7</v>
      </c>
      <c r="I408" s="33">
        <v>84</v>
      </c>
      <c r="J408" s="15"/>
    </row>
    <row r="409" spans="8:10" x14ac:dyDescent="0.2">
      <c r="H409" s="32" t="s">
        <v>7</v>
      </c>
      <c r="I409" s="33">
        <v>114</v>
      </c>
      <c r="J409" s="15"/>
    </row>
    <row r="410" spans="8:10" x14ac:dyDescent="0.2">
      <c r="H410" s="32" t="s">
        <v>7</v>
      </c>
      <c r="I410" s="33">
        <v>79</v>
      </c>
      <c r="J410" s="15"/>
    </row>
    <row r="411" spans="8:10" x14ac:dyDescent="0.2">
      <c r="H411" s="32" t="s">
        <v>7</v>
      </c>
      <c r="I411" s="33">
        <v>120</v>
      </c>
      <c r="J411" s="15"/>
    </row>
    <row r="412" spans="8:10" x14ac:dyDescent="0.2">
      <c r="H412" s="32" t="s">
        <v>7</v>
      </c>
      <c r="I412" s="33">
        <v>91</v>
      </c>
      <c r="J412" s="15"/>
    </row>
    <row r="413" spans="8:10" x14ac:dyDescent="0.2">
      <c r="H413" s="32" t="s">
        <v>7</v>
      </c>
      <c r="I413" s="33">
        <v>91</v>
      </c>
      <c r="J413" s="15"/>
    </row>
    <row r="414" spans="8:10" x14ac:dyDescent="0.2">
      <c r="H414" s="32" t="s">
        <v>7</v>
      </c>
      <c r="I414" s="33">
        <v>49</v>
      </c>
      <c r="J414" s="15"/>
    </row>
    <row r="415" spans="8:10" x14ac:dyDescent="0.2">
      <c r="H415" s="32" t="s">
        <v>7</v>
      </c>
      <c r="I415" s="33">
        <v>66</v>
      </c>
      <c r="J415" s="15"/>
    </row>
    <row r="416" spans="8:10" x14ac:dyDescent="0.2">
      <c r="H416" s="32" t="s">
        <v>7</v>
      </c>
      <c r="I416" s="33">
        <v>62</v>
      </c>
      <c r="J416" s="15"/>
    </row>
    <row r="417" spans="8:10" x14ac:dyDescent="0.2">
      <c r="H417" s="32" t="s">
        <v>7</v>
      </c>
      <c r="I417" s="33">
        <v>53</v>
      </c>
      <c r="J417" s="15"/>
    </row>
    <row r="418" spans="8:10" x14ac:dyDescent="0.2">
      <c r="H418" s="32" t="s">
        <v>7</v>
      </c>
      <c r="I418" s="33">
        <v>72</v>
      </c>
      <c r="J418" s="15"/>
    </row>
    <row r="419" spans="8:10" x14ac:dyDescent="0.2">
      <c r="H419" s="32" t="s">
        <v>7</v>
      </c>
      <c r="I419" s="33">
        <v>64</v>
      </c>
      <c r="J419" s="15"/>
    </row>
    <row r="420" spans="8:10" x14ac:dyDescent="0.2">
      <c r="H420" s="32" t="s">
        <v>7</v>
      </c>
      <c r="I420" s="33">
        <v>62</v>
      </c>
      <c r="J420" s="15"/>
    </row>
    <row r="421" spans="8:10" x14ac:dyDescent="0.2">
      <c r="H421" s="32" t="s">
        <v>7</v>
      </c>
      <c r="I421" s="33">
        <v>43</v>
      </c>
      <c r="J421" s="15"/>
    </row>
    <row r="422" spans="8:10" x14ac:dyDescent="0.2">
      <c r="H422" s="32" t="s">
        <v>7</v>
      </c>
      <c r="I422" s="33">
        <v>58</v>
      </c>
      <c r="J422" s="15"/>
    </row>
    <row r="423" spans="8:10" x14ac:dyDescent="0.2">
      <c r="H423" s="32" t="s">
        <v>7</v>
      </c>
      <c r="I423" s="33">
        <v>33</v>
      </c>
      <c r="J423" s="15"/>
    </row>
    <row r="424" spans="8:10" x14ac:dyDescent="0.2">
      <c r="H424" s="32" t="s">
        <v>7</v>
      </c>
      <c r="I424" s="33">
        <v>37</v>
      </c>
      <c r="J424" s="15"/>
    </row>
    <row r="425" spans="8:10" x14ac:dyDescent="0.2">
      <c r="H425" s="32" t="s">
        <v>7</v>
      </c>
      <c r="I425" s="33">
        <v>34</v>
      </c>
      <c r="J425" s="15"/>
    </row>
    <row r="426" spans="8:10" x14ac:dyDescent="0.2">
      <c r="H426" s="32" t="s">
        <v>7</v>
      </c>
      <c r="I426" s="33">
        <v>35</v>
      </c>
      <c r="J426" s="15"/>
    </row>
    <row r="427" spans="8:10" x14ac:dyDescent="0.2">
      <c r="H427" s="32" t="s">
        <v>7</v>
      </c>
      <c r="I427" s="33">
        <v>12</v>
      </c>
      <c r="J427" s="15"/>
    </row>
    <row r="428" spans="8:10" x14ac:dyDescent="0.2">
      <c r="H428" s="32" t="s">
        <v>7</v>
      </c>
      <c r="I428" s="33">
        <v>210</v>
      </c>
      <c r="J428" s="15"/>
    </row>
    <row r="429" spans="8:10" x14ac:dyDescent="0.2">
      <c r="H429" s="32" t="s">
        <v>7</v>
      </c>
      <c r="I429" s="33">
        <v>254</v>
      </c>
      <c r="J429" s="15"/>
    </row>
    <row r="430" spans="8:10" x14ac:dyDescent="0.2">
      <c r="H430" s="32" t="s">
        <v>7</v>
      </c>
      <c r="I430" s="33">
        <v>235</v>
      </c>
      <c r="J430" s="15"/>
    </row>
    <row r="431" spans="8:10" x14ac:dyDescent="0.2">
      <c r="H431" s="32" t="s">
        <v>7</v>
      </c>
      <c r="I431" s="33">
        <v>230</v>
      </c>
      <c r="J431" s="15"/>
    </row>
    <row r="432" spans="8:10" x14ac:dyDescent="0.2">
      <c r="H432" s="32" t="s">
        <v>7</v>
      </c>
      <c r="I432" s="33">
        <v>226</v>
      </c>
      <c r="J432" s="15"/>
    </row>
    <row r="433" spans="8:10" x14ac:dyDescent="0.2">
      <c r="H433" s="32" t="s">
        <v>7</v>
      </c>
      <c r="I433" s="33">
        <v>255</v>
      </c>
      <c r="J433" s="15"/>
    </row>
    <row r="434" spans="8:10" x14ac:dyDescent="0.2">
      <c r="H434" s="32" t="s">
        <v>7</v>
      </c>
      <c r="I434" s="33">
        <v>252</v>
      </c>
      <c r="J434" s="15"/>
    </row>
    <row r="435" spans="8:10" x14ac:dyDescent="0.2">
      <c r="H435" s="32" t="s">
        <v>7</v>
      </c>
      <c r="I435" s="33">
        <v>246</v>
      </c>
      <c r="J435" s="15"/>
    </row>
    <row r="436" spans="8:10" x14ac:dyDescent="0.2">
      <c r="H436" s="32" t="s">
        <v>7</v>
      </c>
      <c r="I436" s="33">
        <v>238</v>
      </c>
      <c r="J436" s="15"/>
    </row>
    <row r="437" spans="8:10" x14ac:dyDescent="0.2">
      <c r="H437" s="32" t="s">
        <v>7</v>
      </c>
      <c r="I437" s="33">
        <v>214</v>
      </c>
      <c r="J437" s="15"/>
    </row>
    <row r="438" spans="8:10" x14ac:dyDescent="0.2">
      <c r="H438" s="32" t="s">
        <v>7</v>
      </c>
      <c r="I438" s="33">
        <v>203</v>
      </c>
      <c r="J438" s="15"/>
    </row>
    <row r="439" spans="8:10" x14ac:dyDescent="0.2">
      <c r="H439" s="32" t="s">
        <v>7</v>
      </c>
      <c r="I439" s="33">
        <v>208</v>
      </c>
      <c r="J439" s="15"/>
    </row>
    <row r="440" spans="8:10" x14ac:dyDescent="0.2">
      <c r="H440" s="32" t="s">
        <v>7</v>
      </c>
      <c r="I440" s="33">
        <v>224</v>
      </c>
      <c r="J440" s="15"/>
    </row>
    <row r="441" spans="8:10" x14ac:dyDescent="0.2">
      <c r="H441" s="32" t="s">
        <v>7</v>
      </c>
      <c r="I441" s="33">
        <v>194</v>
      </c>
      <c r="J441" s="15"/>
    </row>
    <row r="442" spans="8:10" x14ac:dyDescent="0.2">
      <c r="H442" s="32" t="s">
        <v>7</v>
      </c>
      <c r="I442" s="33">
        <v>199</v>
      </c>
      <c r="J442" s="15"/>
    </row>
    <row r="443" spans="8:10" x14ac:dyDescent="0.2">
      <c r="H443" s="32" t="s">
        <v>7</v>
      </c>
      <c r="I443" s="33">
        <v>157</v>
      </c>
      <c r="J443" s="15"/>
    </row>
    <row r="444" spans="8:10" x14ac:dyDescent="0.2">
      <c r="H444" s="32" t="s">
        <v>7</v>
      </c>
      <c r="I444" s="33">
        <v>165</v>
      </c>
      <c r="J444" s="15"/>
    </row>
    <row r="445" spans="8:10" x14ac:dyDescent="0.2">
      <c r="H445" s="32" t="s">
        <v>7</v>
      </c>
      <c r="I445" s="33">
        <v>111</v>
      </c>
      <c r="J445" s="15"/>
    </row>
    <row r="446" spans="8:10" x14ac:dyDescent="0.2">
      <c r="H446" s="32" t="s">
        <v>7</v>
      </c>
      <c r="I446" s="33">
        <v>89</v>
      </c>
      <c r="J446" s="15"/>
    </row>
    <row r="447" spans="8:10" x14ac:dyDescent="0.2">
      <c r="H447" s="32" t="s">
        <v>7</v>
      </c>
      <c r="I447" s="33">
        <v>142</v>
      </c>
      <c r="J447" s="15"/>
    </row>
    <row r="448" spans="8:10" x14ac:dyDescent="0.2">
      <c r="H448" s="32" t="s">
        <v>7</v>
      </c>
      <c r="I448" s="33">
        <v>71</v>
      </c>
      <c r="J448" s="15"/>
    </row>
    <row r="449" spans="8:10" x14ac:dyDescent="0.2">
      <c r="H449" s="32" t="s">
        <v>7</v>
      </c>
      <c r="I449" s="33">
        <v>107</v>
      </c>
      <c r="J449" s="15"/>
    </row>
    <row r="450" spans="8:10" x14ac:dyDescent="0.2">
      <c r="H450" s="32" t="s">
        <v>7</v>
      </c>
      <c r="I450" s="33">
        <v>76</v>
      </c>
      <c r="J450" s="15"/>
    </row>
    <row r="451" spans="8:10" x14ac:dyDescent="0.2">
      <c r="H451" s="32" t="s">
        <v>7</v>
      </c>
      <c r="I451" s="33">
        <v>134</v>
      </c>
      <c r="J451" s="15"/>
    </row>
    <row r="452" spans="8:10" x14ac:dyDescent="0.2">
      <c r="H452" s="32" t="s">
        <v>7</v>
      </c>
      <c r="I452" s="33">
        <v>88</v>
      </c>
      <c r="J452" s="15"/>
    </row>
    <row r="453" spans="8:10" x14ac:dyDescent="0.2">
      <c r="H453" s="32" t="s">
        <v>7</v>
      </c>
      <c r="I453" s="33">
        <v>71</v>
      </c>
      <c r="J453" s="15"/>
    </row>
    <row r="454" spans="8:10" x14ac:dyDescent="0.2">
      <c r="H454" s="32" t="s">
        <v>7</v>
      </c>
      <c r="I454" s="33">
        <v>25</v>
      </c>
      <c r="J454" s="15"/>
    </row>
    <row r="455" spans="8:10" x14ac:dyDescent="0.2">
      <c r="H455" s="32" t="s">
        <v>7</v>
      </c>
      <c r="I455" s="33">
        <v>87</v>
      </c>
      <c r="J455" s="15"/>
    </row>
    <row r="456" spans="8:10" x14ac:dyDescent="0.2">
      <c r="H456" s="32" t="s">
        <v>7</v>
      </c>
      <c r="I456" s="33">
        <v>51</v>
      </c>
      <c r="J456" s="15"/>
    </row>
    <row r="457" spans="8:10" x14ac:dyDescent="0.2">
      <c r="H457" s="32" t="s">
        <v>7</v>
      </c>
      <c r="I457" s="33">
        <v>80</v>
      </c>
      <c r="J457" s="15"/>
    </row>
    <row r="458" spans="8:10" x14ac:dyDescent="0.2">
      <c r="H458" s="32" t="s">
        <v>7</v>
      </c>
      <c r="I458" s="33">
        <v>68</v>
      </c>
      <c r="J458" s="15"/>
    </row>
    <row r="459" spans="8:10" x14ac:dyDescent="0.2">
      <c r="H459" s="32" t="s">
        <v>7</v>
      </c>
      <c r="I459" s="33">
        <v>89</v>
      </c>
      <c r="J459" s="15"/>
    </row>
    <row r="460" spans="8:10" x14ac:dyDescent="0.2">
      <c r="H460" s="32" t="s">
        <v>7</v>
      </c>
      <c r="I460" s="33">
        <v>84</v>
      </c>
      <c r="J460" s="15"/>
    </row>
    <row r="461" spans="8:10" x14ac:dyDescent="0.2">
      <c r="H461" s="32" t="s">
        <v>7</v>
      </c>
      <c r="I461" s="33">
        <v>19</v>
      </c>
      <c r="J461" s="15"/>
    </row>
    <row r="462" spans="8:10" x14ac:dyDescent="0.2">
      <c r="H462" s="32" t="s">
        <v>7</v>
      </c>
      <c r="I462" s="33">
        <v>81</v>
      </c>
      <c r="J462" s="15"/>
    </row>
    <row r="463" spans="8:10" x14ac:dyDescent="0.2">
      <c r="H463" s="32" t="s">
        <v>3</v>
      </c>
      <c r="I463" s="6">
        <v>450</v>
      </c>
      <c r="J463" s="27"/>
    </row>
    <row r="464" spans="8:10" x14ac:dyDescent="0.2">
      <c r="H464" s="32" t="s">
        <v>3</v>
      </c>
      <c r="I464" s="29">
        <v>500</v>
      </c>
      <c r="J464" s="2"/>
    </row>
    <row r="465" spans="8:10" x14ac:dyDescent="0.2">
      <c r="H465" s="32" t="s">
        <v>3</v>
      </c>
      <c r="I465" s="29">
        <v>475</v>
      </c>
      <c r="J465" s="2"/>
    </row>
    <row r="466" spans="8:10" x14ac:dyDescent="0.2">
      <c r="H466" s="32" t="s">
        <v>3</v>
      </c>
      <c r="I466" s="29">
        <v>460</v>
      </c>
      <c r="J466" s="2"/>
    </row>
    <row r="467" spans="8:10" x14ac:dyDescent="0.2">
      <c r="H467" s="32" t="s">
        <v>3</v>
      </c>
      <c r="I467" s="29">
        <v>480</v>
      </c>
      <c r="J467" s="2"/>
    </row>
    <row r="468" spans="8:10" x14ac:dyDescent="0.2">
      <c r="H468" s="32" t="s">
        <v>3</v>
      </c>
      <c r="I468" s="29">
        <v>470</v>
      </c>
      <c r="J468" s="2"/>
    </row>
    <row r="469" spans="8:10" x14ac:dyDescent="0.2">
      <c r="H469" s="32" t="s">
        <v>3</v>
      </c>
      <c r="I469" s="29">
        <v>460</v>
      </c>
      <c r="J469" s="2"/>
    </row>
    <row r="470" spans="8:10" x14ac:dyDescent="0.2">
      <c r="H470" s="32" t="s">
        <v>3</v>
      </c>
      <c r="I470" s="29">
        <v>450</v>
      </c>
      <c r="J470" s="2"/>
    </row>
    <row r="471" spans="8:10" x14ac:dyDescent="0.2">
      <c r="H471" s="32" t="s">
        <v>3</v>
      </c>
      <c r="I471" s="29">
        <v>440</v>
      </c>
      <c r="J471" s="2"/>
    </row>
    <row r="472" spans="8:10" x14ac:dyDescent="0.2">
      <c r="H472" s="32" t="s">
        <v>3</v>
      </c>
      <c r="I472" s="29">
        <v>430</v>
      </c>
      <c r="J472" s="2"/>
    </row>
    <row r="473" spans="8:10" x14ac:dyDescent="0.2">
      <c r="H473" s="32" t="s">
        <v>3</v>
      </c>
      <c r="I473" s="29">
        <v>420</v>
      </c>
      <c r="J473" s="2"/>
    </row>
    <row r="474" spans="8:10" x14ac:dyDescent="0.2">
      <c r="H474" s="32" t="s">
        <v>3</v>
      </c>
      <c r="I474" s="29">
        <v>410</v>
      </c>
      <c r="J474" s="2"/>
    </row>
    <row r="475" spans="8:10" x14ac:dyDescent="0.2">
      <c r="H475" s="32" t="s">
        <v>3</v>
      </c>
      <c r="I475" s="29">
        <v>400</v>
      </c>
      <c r="J475" s="2"/>
    </row>
    <row r="476" spans="8:10" x14ac:dyDescent="0.2">
      <c r="H476" s="32" t="s">
        <v>3</v>
      </c>
      <c r="I476" s="29">
        <v>390</v>
      </c>
      <c r="J476" s="2"/>
    </row>
    <row r="477" spans="8:10" x14ac:dyDescent="0.2">
      <c r="H477" s="32" t="s">
        <v>3</v>
      </c>
      <c r="I477" s="29">
        <v>380</v>
      </c>
      <c r="J477" s="2"/>
    </row>
    <row r="478" spans="8:10" x14ac:dyDescent="0.2">
      <c r="H478" s="32" t="s">
        <v>3</v>
      </c>
      <c r="I478" s="29">
        <v>370</v>
      </c>
      <c r="J478" s="2"/>
    </row>
    <row r="479" spans="8:10" x14ac:dyDescent="0.2">
      <c r="H479" s="32" t="s">
        <v>3</v>
      </c>
      <c r="I479" s="29">
        <v>360</v>
      </c>
      <c r="J479" s="2"/>
    </row>
    <row r="480" spans="8:10" x14ac:dyDescent="0.2">
      <c r="H480" s="32" t="s">
        <v>3</v>
      </c>
      <c r="I480" s="29">
        <v>350</v>
      </c>
      <c r="J480" s="2"/>
    </row>
    <row r="481" spans="8:10" x14ac:dyDescent="0.2">
      <c r="H481" s="32" t="s">
        <v>3</v>
      </c>
      <c r="I481" s="29">
        <v>340</v>
      </c>
      <c r="J481" s="2"/>
    </row>
    <row r="482" spans="8:10" x14ac:dyDescent="0.2">
      <c r="H482" s="32" t="s">
        <v>3</v>
      </c>
      <c r="I482" s="29">
        <v>330</v>
      </c>
      <c r="J482" s="2"/>
    </row>
    <row r="483" spans="8:10" x14ac:dyDescent="0.2">
      <c r="H483" s="32" t="s">
        <v>3</v>
      </c>
      <c r="I483" s="29">
        <v>325</v>
      </c>
    </row>
    <row r="484" spans="8:10" x14ac:dyDescent="0.2">
      <c r="H484" s="32" t="s">
        <v>3</v>
      </c>
      <c r="I484" s="29">
        <v>320</v>
      </c>
    </row>
    <row r="485" spans="8:10" x14ac:dyDescent="0.2">
      <c r="H485" s="32" t="s">
        <v>3</v>
      </c>
      <c r="I485" s="29">
        <v>315</v>
      </c>
    </row>
    <row r="486" spans="8:10" x14ac:dyDescent="0.2">
      <c r="H486" s="32" t="s">
        <v>3</v>
      </c>
      <c r="I486" s="29">
        <v>310</v>
      </c>
    </row>
    <row r="487" spans="8:10" x14ac:dyDescent="0.2">
      <c r="H487" s="32" t="s">
        <v>3</v>
      </c>
      <c r="I487" s="29">
        <v>305</v>
      </c>
    </row>
    <row r="488" spans="8:10" x14ac:dyDescent="0.2">
      <c r="H488" s="32" t="s">
        <v>3</v>
      </c>
      <c r="I488" s="29">
        <v>300</v>
      </c>
    </row>
    <row r="489" spans="8:10" x14ac:dyDescent="0.2">
      <c r="H489" s="32" t="s">
        <v>3</v>
      </c>
      <c r="I489" s="29">
        <v>295</v>
      </c>
    </row>
    <row r="490" spans="8:10" x14ac:dyDescent="0.2">
      <c r="H490" s="32" t="s">
        <v>3</v>
      </c>
      <c r="I490" s="29">
        <v>290</v>
      </c>
    </row>
    <row r="491" spans="8:10" x14ac:dyDescent="0.2">
      <c r="H491" s="32" t="s">
        <v>3</v>
      </c>
      <c r="I491" s="29">
        <v>285</v>
      </c>
    </row>
    <row r="492" spans="8:10" x14ac:dyDescent="0.2">
      <c r="H492" s="32" t="s">
        <v>3</v>
      </c>
      <c r="I492" s="29">
        <v>280</v>
      </c>
    </row>
    <row r="493" spans="8:10" x14ac:dyDescent="0.2">
      <c r="H493" s="32" t="s">
        <v>3</v>
      </c>
      <c r="I493" s="29">
        <v>275</v>
      </c>
    </row>
    <row r="494" spans="8:10" x14ac:dyDescent="0.2">
      <c r="H494" s="32" t="s">
        <v>3</v>
      </c>
      <c r="I494" s="29">
        <v>270</v>
      </c>
    </row>
    <row r="495" spans="8:10" x14ac:dyDescent="0.2">
      <c r="H495" s="32" t="s">
        <v>3</v>
      </c>
      <c r="I495" s="29">
        <v>265</v>
      </c>
    </row>
    <row r="496" spans="8:10" x14ac:dyDescent="0.2">
      <c r="H496" s="32" t="s">
        <v>3</v>
      </c>
      <c r="I496" s="29">
        <v>260</v>
      </c>
    </row>
    <row r="497" spans="8:10" x14ac:dyDescent="0.2">
      <c r="H497" s="32" t="s">
        <v>3</v>
      </c>
      <c r="I497" s="29">
        <v>255</v>
      </c>
    </row>
    <row r="498" spans="8:10" x14ac:dyDescent="0.2">
      <c r="H498" s="32" t="s">
        <v>3</v>
      </c>
      <c r="I498" s="29">
        <v>250</v>
      </c>
    </row>
    <row r="499" spans="8:10" x14ac:dyDescent="0.2">
      <c r="H499" s="32" t="s">
        <v>3</v>
      </c>
      <c r="I499" s="29">
        <v>245</v>
      </c>
    </row>
    <row r="500" spans="8:10" x14ac:dyDescent="0.2">
      <c r="H500" s="32" t="s">
        <v>3</v>
      </c>
      <c r="I500" s="29">
        <v>240</v>
      </c>
    </row>
    <row r="501" spans="8:10" x14ac:dyDescent="0.2">
      <c r="H501" s="32" t="s">
        <v>3</v>
      </c>
      <c r="I501" s="29">
        <v>235</v>
      </c>
    </row>
    <row r="502" spans="8:10" x14ac:dyDescent="0.2">
      <c r="H502" s="32" t="s">
        <v>3</v>
      </c>
      <c r="I502" s="29">
        <v>230</v>
      </c>
    </row>
    <row r="503" spans="8:10" x14ac:dyDescent="0.2">
      <c r="H503" s="32" t="s">
        <v>3</v>
      </c>
      <c r="I503" s="35">
        <v>442</v>
      </c>
      <c r="J503" s="15"/>
    </row>
    <row r="504" spans="8:10" x14ac:dyDescent="0.2">
      <c r="H504" s="32" t="s">
        <v>3</v>
      </c>
      <c r="I504" s="35">
        <v>511</v>
      </c>
      <c r="J504" s="15"/>
    </row>
    <row r="505" spans="8:10" x14ac:dyDescent="0.2">
      <c r="H505" s="32" t="s">
        <v>3</v>
      </c>
      <c r="I505" s="35">
        <v>498</v>
      </c>
      <c r="J505" s="15"/>
    </row>
    <row r="506" spans="8:10" x14ac:dyDescent="0.2">
      <c r="H506" s="32" t="s">
        <v>3</v>
      </c>
      <c r="I506" s="35">
        <v>474</v>
      </c>
      <c r="J506" s="15"/>
    </row>
    <row r="507" spans="8:10" x14ac:dyDescent="0.2">
      <c r="H507" s="32" t="s">
        <v>3</v>
      </c>
      <c r="I507" s="35">
        <v>471</v>
      </c>
      <c r="J507" s="15"/>
    </row>
    <row r="508" spans="8:10" x14ac:dyDescent="0.2">
      <c r="H508" s="32" t="s">
        <v>3</v>
      </c>
      <c r="I508" s="35">
        <v>487</v>
      </c>
      <c r="J508" s="15"/>
    </row>
    <row r="509" spans="8:10" x14ac:dyDescent="0.2">
      <c r="H509" s="32" t="s">
        <v>3</v>
      </c>
      <c r="I509" s="35">
        <v>447</v>
      </c>
      <c r="J509" s="15"/>
    </row>
    <row r="510" spans="8:10" x14ac:dyDescent="0.2">
      <c r="H510" s="32" t="s">
        <v>3</v>
      </c>
      <c r="I510" s="35">
        <v>473</v>
      </c>
      <c r="J510" s="15"/>
    </row>
    <row r="511" spans="8:10" x14ac:dyDescent="0.2">
      <c r="H511" s="32" t="s">
        <v>3</v>
      </c>
      <c r="I511" s="35">
        <v>451</v>
      </c>
      <c r="J511" s="15"/>
    </row>
    <row r="512" spans="8:10" x14ac:dyDescent="0.2">
      <c r="H512" s="32" t="s">
        <v>3</v>
      </c>
      <c r="I512" s="35">
        <v>443</v>
      </c>
      <c r="J512" s="15"/>
    </row>
    <row r="513" spans="8:10" x14ac:dyDescent="0.2">
      <c r="H513" s="32" t="s">
        <v>3</v>
      </c>
      <c r="I513" s="35">
        <v>425</v>
      </c>
      <c r="J513" s="15"/>
    </row>
    <row r="514" spans="8:10" x14ac:dyDescent="0.2">
      <c r="H514" s="32" t="s">
        <v>3</v>
      </c>
      <c r="I514" s="35">
        <v>438</v>
      </c>
      <c r="J514" s="15"/>
    </row>
    <row r="515" spans="8:10" x14ac:dyDescent="0.2">
      <c r="H515" s="32" t="s">
        <v>3</v>
      </c>
      <c r="I515" s="35">
        <v>407</v>
      </c>
      <c r="J515" s="15"/>
    </row>
    <row r="516" spans="8:10" x14ac:dyDescent="0.2">
      <c r="H516" s="32" t="s">
        <v>3</v>
      </c>
      <c r="I516" s="35">
        <v>363</v>
      </c>
      <c r="J516" s="15"/>
    </row>
    <row r="517" spans="8:10" x14ac:dyDescent="0.2">
      <c r="H517" s="32" t="s">
        <v>3</v>
      </c>
      <c r="I517" s="35">
        <v>395</v>
      </c>
      <c r="J517" s="15"/>
    </row>
    <row r="518" spans="8:10" x14ac:dyDescent="0.2">
      <c r="H518" s="32" t="s">
        <v>3</v>
      </c>
      <c r="I518" s="35">
        <v>368</v>
      </c>
      <c r="J518" s="15"/>
    </row>
    <row r="519" spans="8:10" x14ac:dyDescent="0.2">
      <c r="H519" s="32" t="s">
        <v>3</v>
      </c>
      <c r="I519" s="35">
        <v>372</v>
      </c>
      <c r="J519" s="15"/>
    </row>
    <row r="520" spans="8:10" x14ac:dyDescent="0.2">
      <c r="H520" s="32" t="s">
        <v>3</v>
      </c>
      <c r="I520" s="35">
        <v>329</v>
      </c>
      <c r="J520" s="15"/>
    </row>
    <row r="521" spans="8:10" x14ac:dyDescent="0.2">
      <c r="H521" s="32" t="s">
        <v>3</v>
      </c>
      <c r="I521" s="35">
        <v>349</v>
      </c>
      <c r="J521" s="15"/>
    </row>
    <row r="522" spans="8:10" x14ac:dyDescent="0.2">
      <c r="H522" s="32" t="s">
        <v>3</v>
      </c>
      <c r="I522" s="35">
        <v>331</v>
      </c>
      <c r="J522" s="15"/>
    </row>
    <row r="523" spans="8:10" x14ac:dyDescent="0.2">
      <c r="H523" s="32" t="s">
        <v>3</v>
      </c>
      <c r="I523" s="35">
        <v>300</v>
      </c>
      <c r="J523" s="15"/>
    </row>
    <row r="524" spans="8:10" x14ac:dyDescent="0.2">
      <c r="H524" s="32" t="s">
        <v>3</v>
      </c>
      <c r="I524" s="35">
        <v>309</v>
      </c>
      <c r="J524" s="15"/>
    </row>
    <row r="525" spans="8:10" x14ac:dyDescent="0.2">
      <c r="H525" s="32" t="s">
        <v>3</v>
      </c>
      <c r="I525" s="35">
        <v>298</v>
      </c>
      <c r="J525" s="15"/>
    </row>
    <row r="526" spans="8:10" x14ac:dyDescent="0.2">
      <c r="H526" s="32" t="s">
        <v>3</v>
      </c>
      <c r="I526" s="35">
        <v>331</v>
      </c>
      <c r="J526" s="15"/>
    </row>
    <row r="527" spans="8:10" x14ac:dyDescent="0.2">
      <c r="H527" s="32" t="s">
        <v>3</v>
      </c>
      <c r="I527" s="35">
        <v>327</v>
      </c>
      <c r="J527" s="15"/>
    </row>
    <row r="528" spans="8:10" x14ac:dyDescent="0.2">
      <c r="H528" s="32" t="s">
        <v>3</v>
      </c>
      <c r="I528" s="35">
        <v>311</v>
      </c>
      <c r="J528" s="15"/>
    </row>
    <row r="529" spans="8:10" x14ac:dyDescent="0.2">
      <c r="H529" s="32" t="s">
        <v>3</v>
      </c>
      <c r="I529" s="35">
        <v>299</v>
      </c>
      <c r="J529" s="15"/>
    </row>
    <row r="530" spans="8:10" x14ac:dyDescent="0.2">
      <c r="H530" s="32" t="s">
        <v>3</v>
      </c>
      <c r="I530" s="35">
        <v>275</v>
      </c>
      <c r="J530" s="15"/>
    </row>
    <row r="531" spans="8:10" x14ac:dyDescent="0.2">
      <c r="H531" s="32" t="s">
        <v>3</v>
      </c>
      <c r="I531" s="35">
        <v>267</v>
      </c>
      <c r="J531" s="15"/>
    </row>
    <row r="532" spans="8:10" x14ac:dyDescent="0.2">
      <c r="H532" s="32" t="s">
        <v>3</v>
      </c>
      <c r="I532" s="35">
        <v>299</v>
      </c>
      <c r="J532" s="15"/>
    </row>
    <row r="533" spans="8:10" x14ac:dyDescent="0.2">
      <c r="H533" s="32" t="s">
        <v>3</v>
      </c>
      <c r="I533" s="35">
        <v>286</v>
      </c>
      <c r="J533" s="15"/>
    </row>
    <row r="534" spans="8:10" x14ac:dyDescent="0.2">
      <c r="H534" s="32" t="s">
        <v>3</v>
      </c>
      <c r="I534" s="35">
        <v>252</v>
      </c>
      <c r="J534" s="15"/>
    </row>
    <row r="535" spans="8:10" x14ac:dyDescent="0.2">
      <c r="H535" s="32" t="s">
        <v>3</v>
      </c>
      <c r="I535" s="35">
        <v>261</v>
      </c>
      <c r="J535" s="15"/>
    </row>
    <row r="536" spans="8:10" x14ac:dyDescent="0.2">
      <c r="H536" s="32" t="s">
        <v>3</v>
      </c>
      <c r="I536" s="35">
        <v>245</v>
      </c>
      <c r="J536" s="15"/>
    </row>
    <row r="537" spans="8:10" x14ac:dyDescent="0.2">
      <c r="H537" s="32" t="s">
        <v>3</v>
      </c>
      <c r="I537" s="35">
        <v>261</v>
      </c>
      <c r="J537" s="15"/>
    </row>
    <row r="538" spans="8:10" x14ac:dyDescent="0.2">
      <c r="H538" s="32" t="s">
        <v>3</v>
      </c>
      <c r="I538" s="35">
        <v>223</v>
      </c>
      <c r="J538" s="15"/>
    </row>
    <row r="539" spans="8:10" x14ac:dyDescent="0.2">
      <c r="H539" s="32" t="s">
        <v>3</v>
      </c>
      <c r="I539" s="35">
        <v>258</v>
      </c>
      <c r="J539" s="15"/>
    </row>
    <row r="540" spans="8:10" x14ac:dyDescent="0.2">
      <c r="H540" s="32" t="s">
        <v>3</v>
      </c>
      <c r="I540" s="35">
        <v>244</v>
      </c>
      <c r="J540" s="15"/>
    </row>
    <row r="541" spans="8:10" x14ac:dyDescent="0.2">
      <c r="H541" s="32" t="s">
        <v>3</v>
      </c>
      <c r="I541" s="35">
        <v>239</v>
      </c>
      <c r="J541" s="15"/>
    </row>
    <row r="542" spans="8:10" x14ac:dyDescent="0.2">
      <c r="H542" s="32" t="s">
        <v>3</v>
      </c>
      <c r="I542" s="35">
        <v>206</v>
      </c>
      <c r="J542" s="15"/>
    </row>
    <row r="543" spans="8:10" x14ac:dyDescent="0.2">
      <c r="H543" s="32" t="s">
        <v>3</v>
      </c>
      <c r="I543" s="35">
        <v>465</v>
      </c>
      <c r="J543" s="15"/>
    </row>
    <row r="544" spans="8:10" x14ac:dyDescent="0.2">
      <c r="H544" s="32" t="s">
        <v>3</v>
      </c>
      <c r="I544" s="35">
        <v>503</v>
      </c>
      <c r="J544" s="15"/>
    </row>
    <row r="545" spans="8:10" x14ac:dyDescent="0.2">
      <c r="H545" s="32" t="s">
        <v>3</v>
      </c>
      <c r="I545" s="35">
        <v>476</v>
      </c>
      <c r="J545" s="15"/>
    </row>
    <row r="546" spans="8:10" x14ac:dyDescent="0.2">
      <c r="H546" s="32" t="s">
        <v>3</v>
      </c>
      <c r="I546" s="35">
        <v>471</v>
      </c>
      <c r="J546" s="15"/>
    </row>
    <row r="547" spans="8:10" x14ac:dyDescent="0.2">
      <c r="H547" s="32" t="s">
        <v>3</v>
      </c>
      <c r="I547" s="35">
        <v>470</v>
      </c>
      <c r="J547" s="15"/>
    </row>
    <row r="548" spans="8:10" x14ac:dyDescent="0.2">
      <c r="H548" s="32" t="s">
        <v>3</v>
      </c>
      <c r="I548" s="35">
        <v>481</v>
      </c>
      <c r="J548" s="15"/>
    </row>
    <row r="549" spans="8:10" x14ac:dyDescent="0.2">
      <c r="H549" s="32" t="s">
        <v>3</v>
      </c>
      <c r="I549" s="35">
        <v>434</v>
      </c>
      <c r="J549" s="15"/>
    </row>
    <row r="550" spans="8:10" x14ac:dyDescent="0.2">
      <c r="H550" s="32" t="s">
        <v>3</v>
      </c>
      <c r="I550" s="35">
        <v>459</v>
      </c>
      <c r="J550" s="15"/>
    </row>
    <row r="551" spans="8:10" x14ac:dyDescent="0.2">
      <c r="H551" s="32" t="s">
        <v>3</v>
      </c>
      <c r="I551" s="35">
        <v>448</v>
      </c>
      <c r="J551" s="15"/>
    </row>
    <row r="552" spans="8:10" x14ac:dyDescent="0.2">
      <c r="H552" s="32" t="s">
        <v>3</v>
      </c>
      <c r="I552" s="35">
        <v>470</v>
      </c>
      <c r="J552" s="15"/>
    </row>
    <row r="553" spans="8:10" x14ac:dyDescent="0.2">
      <c r="H553" s="32" t="s">
        <v>3</v>
      </c>
      <c r="I553" s="35">
        <v>409</v>
      </c>
      <c r="J553" s="15"/>
    </row>
    <row r="554" spans="8:10" x14ac:dyDescent="0.2">
      <c r="H554" s="32" t="s">
        <v>3</v>
      </c>
      <c r="I554" s="35">
        <v>423</v>
      </c>
      <c r="J554" s="15"/>
    </row>
    <row r="555" spans="8:10" x14ac:dyDescent="0.2">
      <c r="H555" s="32" t="s">
        <v>3</v>
      </c>
      <c r="I555" s="35">
        <v>412</v>
      </c>
      <c r="J555" s="15"/>
    </row>
    <row r="556" spans="8:10" x14ac:dyDescent="0.2">
      <c r="H556" s="32" t="s">
        <v>3</v>
      </c>
      <c r="I556" s="35">
        <v>336</v>
      </c>
      <c r="J556" s="15"/>
    </row>
    <row r="557" spans="8:10" x14ac:dyDescent="0.2">
      <c r="H557" s="32" t="s">
        <v>3</v>
      </c>
      <c r="I557" s="35">
        <v>374</v>
      </c>
      <c r="J557" s="15"/>
    </row>
    <row r="558" spans="8:10" x14ac:dyDescent="0.2">
      <c r="H558" s="32" t="s">
        <v>3</v>
      </c>
      <c r="I558" s="35">
        <v>385</v>
      </c>
      <c r="J558" s="15"/>
    </row>
    <row r="559" spans="8:10" x14ac:dyDescent="0.2">
      <c r="H559" s="32" t="s">
        <v>3</v>
      </c>
      <c r="I559" s="35">
        <v>342</v>
      </c>
      <c r="J559" s="15"/>
    </row>
    <row r="560" spans="8:10" x14ac:dyDescent="0.2">
      <c r="H560" s="32" t="s">
        <v>3</v>
      </c>
      <c r="I560" s="35">
        <v>340</v>
      </c>
      <c r="J560" s="15"/>
    </row>
    <row r="561" spans="8:10" x14ac:dyDescent="0.2">
      <c r="H561" s="32" t="s">
        <v>3</v>
      </c>
      <c r="I561" s="35">
        <v>333</v>
      </c>
      <c r="J561" s="15"/>
    </row>
    <row r="562" spans="8:10" x14ac:dyDescent="0.2">
      <c r="H562" s="32" t="s">
        <v>3</v>
      </c>
      <c r="I562" s="35">
        <v>319</v>
      </c>
      <c r="J562" s="15"/>
    </row>
    <row r="563" spans="8:10" x14ac:dyDescent="0.2">
      <c r="H563" s="32" t="s">
        <v>3</v>
      </c>
      <c r="I563" s="35">
        <v>301</v>
      </c>
      <c r="J563" s="15"/>
    </row>
    <row r="564" spans="8:10" x14ac:dyDescent="0.2">
      <c r="H564" s="32" t="s">
        <v>3</v>
      </c>
      <c r="I564" s="35">
        <v>314</v>
      </c>
      <c r="J564" s="15"/>
    </row>
    <row r="565" spans="8:10" x14ac:dyDescent="0.2">
      <c r="H565" s="32" t="s">
        <v>3</v>
      </c>
      <c r="I565" s="35">
        <v>313</v>
      </c>
      <c r="J565" s="15"/>
    </row>
    <row r="566" spans="8:10" x14ac:dyDescent="0.2">
      <c r="H566" s="32" t="s">
        <v>3</v>
      </c>
      <c r="I566" s="35">
        <v>357</v>
      </c>
      <c r="J566" s="15"/>
    </row>
    <row r="567" spans="8:10" x14ac:dyDescent="0.2">
      <c r="H567" s="32" t="s">
        <v>3</v>
      </c>
      <c r="I567" s="35">
        <v>297</v>
      </c>
      <c r="J567" s="15"/>
    </row>
    <row r="568" spans="8:10" x14ac:dyDescent="0.2">
      <c r="H568" s="32" t="s">
        <v>3</v>
      </c>
      <c r="I568" s="35">
        <v>326</v>
      </c>
      <c r="J568" s="15"/>
    </row>
    <row r="569" spans="8:10" x14ac:dyDescent="0.2">
      <c r="H569" s="32" t="s">
        <v>3</v>
      </c>
      <c r="I569" s="35">
        <v>312</v>
      </c>
      <c r="J569" s="15"/>
    </row>
    <row r="570" spans="8:10" x14ac:dyDescent="0.2">
      <c r="H570" s="32" t="s">
        <v>3</v>
      </c>
      <c r="I570" s="35">
        <v>246</v>
      </c>
      <c r="J570" s="15"/>
    </row>
    <row r="571" spans="8:10" x14ac:dyDescent="0.2">
      <c r="H571" s="32" t="s">
        <v>3</v>
      </c>
      <c r="I571" s="35">
        <v>251</v>
      </c>
      <c r="J571" s="15"/>
    </row>
    <row r="572" spans="8:10" x14ac:dyDescent="0.2">
      <c r="H572" s="32" t="s">
        <v>3</v>
      </c>
      <c r="I572" s="35">
        <v>298</v>
      </c>
      <c r="J572" s="15"/>
    </row>
    <row r="573" spans="8:10" x14ac:dyDescent="0.2">
      <c r="H573" s="32" t="s">
        <v>3</v>
      </c>
      <c r="I573" s="35">
        <v>306</v>
      </c>
      <c r="J573" s="15"/>
    </row>
    <row r="574" spans="8:10" x14ac:dyDescent="0.2">
      <c r="H574" s="32" t="s">
        <v>3</v>
      </c>
      <c r="I574" s="35">
        <v>264</v>
      </c>
      <c r="J574" s="15"/>
    </row>
    <row r="575" spans="8:10" x14ac:dyDescent="0.2">
      <c r="H575" s="32" t="s">
        <v>3</v>
      </c>
      <c r="I575" s="35">
        <v>245</v>
      </c>
      <c r="J575" s="15"/>
    </row>
    <row r="576" spans="8:10" x14ac:dyDescent="0.2">
      <c r="H576" s="32" t="s">
        <v>3</v>
      </c>
      <c r="I576" s="35">
        <v>243</v>
      </c>
      <c r="J576" s="15"/>
    </row>
    <row r="577" spans="8:10" x14ac:dyDescent="0.2">
      <c r="H577" s="32" t="s">
        <v>3</v>
      </c>
      <c r="I577" s="35">
        <v>235</v>
      </c>
      <c r="J577" s="15"/>
    </row>
  </sheetData>
  <conditionalFormatting sqref="L34:BE38">
    <cfRule type="colorScale" priority="2">
      <colorScale>
        <cfvo type="min"/>
        <cfvo type="max"/>
        <color rgb="FFFCFCFF"/>
        <color rgb="FFF8696B"/>
      </colorScale>
    </cfRule>
  </conditionalFormatting>
  <conditionalFormatting sqref="M24:BE28">
    <cfRule type="colorScale" priority="3">
      <colorScale>
        <cfvo type="min"/>
        <cfvo type="max"/>
        <color rgb="FFFCFCFF"/>
        <color rgb="FFF8696B"/>
      </colorScale>
    </cfRule>
  </conditionalFormatting>
  <conditionalFormatting sqref="M16:BF20">
    <cfRule type="colorScale" priority="5">
      <colorScale>
        <cfvo type="min"/>
        <cfvo type="max"/>
        <color rgb="FFFCFCFF"/>
        <color rgb="FFF8696B"/>
      </colorScale>
    </cfRule>
  </conditionalFormatting>
  <conditionalFormatting sqref="BI5:BM5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���0�0�0�0�0�0n0��fL0S0S0k0h�:yU0�0~0Y0�0�0�0�0��S��^wT�{�V'[��S��^wT�{�V�{�V��S��^wT�{�V'[��S��^wT�{�V�{�Vt^n0�^�pe�{�Vt^n0�^�pe�{�V�{�V�0�0�0�0��S��^wT�{�V'[��S��^wT�{�V�{�V��S��^wT�{�V'[��S��^wT�{�V�{�V
</file>

<file path=customXml/item2.xml>���0�0�0�0�0�0n0��fL0S0S0k0h�:yU0�0~0Y0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9836BB2F-63F0-46C2-AEC5-B1BDA1A8057C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4B9EA500-27BF-437E-A800-FB49A8231EF0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7EB3C83F-A415-4EEA-8E58-10945066487F}">
  <ds:schemaRefs>
    <ds:schemaRef ds:uri="http://www.w3.org/2001/XMLSchema"/>
    <ds:schemaRef ds:uri="http://microsoft.data.visualization.Client.Excel.CustomMapList/1.0"/>
  </ds:schemaRefs>
</ds:datastoreItem>
</file>

<file path=customXml/itemProps4.xml><?xml version="1.0" encoding="utf-8"?>
<ds:datastoreItem xmlns:ds="http://schemas.openxmlformats.org/officeDocument/2006/customXml" ds:itemID="{F8B5D40D-5CD8-4CB2-A42A-64E8DFB639A3}">
  <ds:schemaRefs>
    <ds:schemaRef ds:uri="http://www.w3.org/2001/XMLSchema"/>
    <ds:schemaRef ds:uri="http://microsoft.data.visualization.Client.Excel.LState/1.0"/>
  </ds:schemaRefs>
</ds:datastoreItem>
</file>

<file path=customXml/itemProps5.xml><?xml version="1.0" encoding="utf-8"?>
<ds:datastoreItem xmlns:ds="http://schemas.openxmlformats.org/officeDocument/2006/customXml" ds:itemID="{A3A0ECF3-7BF0-4AC1-8DD1-C792D246075B}">
  <ds:schemaRefs>
    <ds:schemaRef ds:uri="http://www.w3.org/2001/XMLSchema"/>
    <ds:schemaRef ds:uri="http://microsoft.data.visualization.Client.Excel.P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T-2-4-3 (分布)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TAKAHIRA Kentaro</dc:creator>
  <cp:lastModifiedBy>15895</cp:lastModifiedBy>
  <dcterms:created xsi:type="dcterms:W3CDTF">2024-04-30T03:08:27Z</dcterms:created>
  <dcterms:modified xsi:type="dcterms:W3CDTF">2025-06-16T10:40:34Z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2024-05-02T05:02:27Z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6254c3b3-2021-40a8-8186-da7b392338ea</vt:lpwstr>
  </property>
  <property fmtid="{D5CDD505-2E9C-101B-9397-08002B2CF9AE}" pid="7" name="MSIP_Label_defa4170-0d19-0005-0004-bc88714345d2_ActionId">
    <vt:lpwstr>14b52714-5895-4e62-be52-d6776a1944e6</vt:lpwstr>
  </property>
  <property fmtid="{D5CDD505-2E9C-101B-9397-08002B2CF9AE}" pid="8" name="MSIP_Label_defa4170-0d19-0005-0004-bc88714345d2_ContentBits">
    <vt:lpwstr>0</vt:lpwstr>
  </property>
</Properties>
</file>